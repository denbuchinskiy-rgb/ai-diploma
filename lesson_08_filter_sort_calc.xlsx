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Разработчик ИИ\Анализ данных в Excel и оcновы Python\Занятие 8\"/>
    </mc:Choice>
  </mc:AlternateContent>
  <xr:revisionPtr revIDLastSave="0" documentId="13_ncr:1_{4912935C-1529-46EB-9B3E-1F16886D6298}" xr6:coauthVersionLast="47" xr6:coauthVersionMax="47" xr10:uidLastSave="{00000000-0000-0000-0000-000000000000}"/>
  <bookViews>
    <workbookView xWindow="4995" yWindow="3600" windowWidth="21600" windowHeight="11385" activeTab="1" xr2:uid="{00000000-000D-0000-FFFF-FFFF00000000}"/>
  </bookViews>
  <sheets>
    <sheet name="0_Теория" sheetId="1" r:id="rId1"/>
    <sheet name="sales_data" sheetId="2" r:id="rId2"/>
    <sheet name="1_Обзор" sheetId="3" r:id="rId3"/>
    <sheet name="2_Фильтр_1" sheetId="4" r:id="rId4"/>
    <sheet name="3_Фильтр_2" sheetId="5" r:id="rId5"/>
    <sheet name="4_Сортировка" sheetId="6" r:id="rId6"/>
    <sheet name="5_Новые_столбцы" sheetId="7" r:id="rId7"/>
    <sheet name="6_Тест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8" l="1"/>
  <c r="J12" i="7"/>
  <c r="K12" i="7" s="1"/>
  <c r="J11" i="7"/>
  <c r="K11" i="7" s="1"/>
  <c r="J10" i="7"/>
  <c r="K10" i="7" s="1"/>
  <c r="J9" i="7"/>
  <c r="K9" i="7" s="1"/>
  <c r="K8" i="7"/>
  <c r="J8" i="7"/>
  <c r="U7" i="7"/>
  <c r="T7" i="7"/>
  <c r="S7" i="7"/>
  <c r="R7" i="7"/>
  <c r="V7" i="7" s="1"/>
  <c r="Q7" i="7"/>
  <c r="P7" i="7"/>
  <c r="O7" i="7"/>
  <c r="N7" i="7"/>
  <c r="M7" i="7"/>
  <c r="K7" i="7"/>
  <c r="J7" i="7"/>
  <c r="U6" i="7"/>
  <c r="T6" i="7"/>
  <c r="S6" i="7"/>
  <c r="R6" i="7"/>
  <c r="Q6" i="7"/>
  <c r="P6" i="7"/>
  <c r="O6" i="7"/>
  <c r="N6" i="7"/>
  <c r="M6" i="7"/>
  <c r="K6" i="7"/>
  <c r="J6" i="7"/>
  <c r="U5" i="7"/>
  <c r="T5" i="7"/>
  <c r="S5" i="7"/>
  <c r="R5" i="7"/>
  <c r="Q5" i="7"/>
  <c r="P5" i="7"/>
  <c r="O5" i="7"/>
  <c r="N5" i="7"/>
  <c r="M5" i="7"/>
  <c r="K5" i="7"/>
  <c r="J5" i="7"/>
  <c r="B7" i="8" s="1"/>
  <c r="J4" i="7"/>
  <c r="K4" i="7" s="1"/>
  <c r="T13" i="6"/>
  <c r="S13" i="6"/>
  <c r="R13" i="6"/>
  <c r="Q13" i="6"/>
  <c r="P13" i="6"/>
  <c r="O13" i="6"/>
  <c r="N13" i="6"/>
  <c r="M13" i="6"/>
  <c r="L13" i="6"/>
  <c r="T12" i="6"/>
  <c r="S12" i="6"/>
  <c r="R12" i="6"/>
  <c r="Q12" i="6"/>
  <c r="P12" i="6"/>
  <c r="O12" i="6"/>
  <c r="N12" i="6"/>
  <c r="M12" i="6"/>
  <c r="L12" i="6"/>
  <c r="J12" i="6"/>
  <c r="T11" i="6"/>
  <c r="S11" i="6"/>
  <c r="R11" i="6"/>
  <c r="Q11" i="6"/>
  <c r="P11" i="6"/>
  <c r="O11" i="6"/>
  <c r="N11" i="6"/>
  <c r="M11" i="6"/>
  <c r="L11" i="6"/>
  <c r="J11" i="6"/>
  <c r="T10" i="6"/>
  <c r="S10" i="6"/>
  <c r="R10" i="6"/>
  <c r="Q10" i="6"/>
  <c r="P10" i="6"/>
  <c r="O10" i="6"/>
  <c r="N10" i="6"/>
  <c r="M10" i="6"/>
  <c r="L10" i="6"/>
  <c r="J10" i="6"/>
  <c r="T9" i="6"/>
  <c r="S9" i="6"/>
  <c r="R9" i="6"/>
  <c r="Q9" i="6"/>
  <c r="P9" i="6"/>
  <c r="O9" i="6"/>
  <c r="N9" i="6"/>
  <c r="M9" i="6"/>
  <c r="L9" i="6"/>
  <c r="J9" i="6"/>
  <c r="T8" i="6"/>
  <c r="S8" i="6"/>
  <c r="R8" i="6"/>
  <c r="Q8" i="6"/>
  <c r="P8" i="6"/>
  <c r="O8" i="6"/>
  <c r="N8" i="6"/>
  <c r="M8" i="6"/>
  <c r="L8" i="6"/>
  <c r="J8" i="6"/>
  <c r="T7" i="6"/>
  <c r="S7" i="6"/>
  <c r="R7" i="6"/>
  <c r="Q7" i="6"/>
  <c r="P7" i="6"/>
  <c r="O7" i="6"/>
  <c r="N7" i="6"/>
  <c r="M7" i="6"/>
  <c r="L7" i="6"/>
  <c r="J7" i="6"/>
  <c r="T6" i="6"/>
  <c r="S6" i="6"/>
  <c r="R6" i="6"/>
  <c r="Q6" i="6"/>
  <c r="P6" i="6"/>
  <c r="O6" i="6"/>
  <c r="N6" i="6"/>
  <c r="M6" i="6"/>
  <c r="L6" i="6"/>
  <c r="J6" i="6"/>
  <c r="T5" i="6"/>
  <c r="S5" i="6"/>
  <c r="R5" i="6"/>
  <c r="Q5" i="6"/>
  <c r="P5" i="6"/>
  <c r="O5" i="6"/>
  <c r="N5" i="6"/>
  <c r="M5" i="6"/>
  <c r="L5" i="6"/>
  <c r="M15" i="6" s="1"/>
  <c r="J5" i="6"/>
  <c r="J4" i="6"/>
  <c r="J12" i="5"/>
  <c r="J11" i="5"/>
  <c r="M10" i="5"/>
  <c r="J10" i="5"/>
  <c r="J9" i="5"/>
  <c r="T8" i="5"/>
  <c r="S8" i="5"/>
  <c r="R8" i="5"/>
  <c r="Q8" i="5"/>
  <c r="P8" i="5"/>
  <c r="O8" i="5"/>
  <c r="N8" i="5"/>
  <c r="M8" i="5"/>
  <c r="L8" i="5"/>
  <c r="J8" i="5"/>
  <c r="T7" i="5"/>
  <c r="S7" i="5"/>
  <c r="R7" i="5"/>
  <c r="Q7" i="5"/>
  <c r="P7" i="5"/>
  <c r="O7" i="5"/>
  <c r="N7" i="5"/>
  <c r="M7" i="5"/>
  <c r="L7" i="5"/>
  <c r="J7" i="5"/>
  <c r="B6" i="8" s="1"/>
  <c r="T6" i="5"/>
  <c r="S6" i="5"/>
  <c r="R6" i="5"/>
  <c r="Q6" i="5"/>
  <c r="P6" i="5"/>
  <c r="O6" i="5"/>
  <c r="N6" i="5"/>
  <c r="M6" i="5"/>
  <c r="L6" i="5"/>
  <c r="J6" i="5"/>
  <c r="T5" i="5"/>
  <c r="S5" i="5"/>
  <c r="R5" i="5"/>
  <c r="Q5" i="5"/>
  <c r="P5" i="5"/>
  <c r="O5" i="5"/>
  <c r="N5" i="5"/>
  <c r="M5" i="5"/>
  <c r="L5" i="5"/>
  <c r="J5" i="5"/>
  <c r="J4" i="5"/>
  <c r="J12" i="4"/>
  <c r="J11" i="4"/>
  <c r="J10" i="4"/>
  <c r="T9" i="4"/>
  <c r="S9" i="4"/>
  <c r="R9" i="4"/>
  <c r="Q9" i="4"/>
  <c r="P9" i="4"/>
  <c r="O9" i="4"/>
  <c r="N9" i="4"/>
  <c r="M9" i="4"/>
  <c r="L9" i="4"/>
  <c r="J9" i="4"/>
  <c r="B5" i="8" s="1"/>
  <c r="T8" i="4"/>
  <c r="S8" i="4"/>
  <c r="R8" i="4"/>
  <c r="Q8" i="4"/>
  <c r="P8" i="4"/>
  <c r="O8" i="4"/>
  <c r="N8" i="4"/>
  <c r="M8" i="4"/>
  <c r="L8" i="4"/>
  <c r="J8" i="4"/>
  <c r="T7" i="4"/>
  <c r="S7" i="4"/>
  <c r="R7" i="4"/>
  <c r="Q7" i="4"/>
  <c r="P7" i="4"/>
  <c r="O7" i="4"/>
  <c r="N7" i="4"/>
  <c r="M7" i="4"/>
  <c r="L7" i="4"/>
  <c r="J7" i="4"/>
  <c r="T6" i="4"/>
  <c r="S6" i="4"/>
  <c r="R6" i="4"/>
  <c r="Q6" i="4"/>
  <c r="P6" i="4"/>
  <c r="O6" i="4"/>
  <c r="N6" i="4"/>
  <c r="M6" i="4"/>
  <c r="L6" i="4"/>
  <c r="J6" i="4"/>
  <c r="T5" i="4"/>
  <c r="S5" i="4"/>
  <c r="R5" i="4"/>
  <c r="Q5" i="4"/>
  <c r="P5" i="4"/>
  <c r="O5" i="4"/>
  <c r="N5" i="4"/>
  <c r="M5" i="4"/>
  <c r="L5" i="4"/>
  <c r="J5" i="4"/>
  <c r="J4" i="4"/>
  <c r="L7" i="3"/>
  <c r="K7" i="3"/>
  <c r="J7" i="3"/>
  <c r="I7" i="3"/>
  <c r="H7" i="3"/>
  <c r="G7" i="3"/>
  <c r="F7" i="3"/>
  <c r="E7" i="3"/>
  <c r="D7" i="3"/>
  <c r="B7" i="3"/>
  <c r="L6" i="3"/>
  <c r="K6" i="3"/>
  <c r="J6" i="3"/>
  <c r="I6" i="3"/>
  <c r="H6" i="3"/>
  <c r="G6" i="3"/>
  <c r="F6" i="3"/>
  <c r="E6" i="3"/>
  <c r="D6" i="3"/>
  <c r="B6" i="3"/>
  <c r="L5" i="3"/>
  <c r="K5" i="3"/>
  <c r="J5" i="3"/>
  <c r="I5" i="3"/>
  <c r="H5" i="3"/>
  <c r="G5" i="3"/>
  <c r="F5" i="3"/>
  <c r="E5" i="3"/>
  <c r="D5" i="3"/>
  <c r="B5" i="3"/>
  <c r="L4" i="3"/>
  <c r="K4" i="3"/>
  <c r="J4" i="3"/>
  <c r="I4" i="3"/>
  <c r="H4" i="3"/>
  <c r="G4" i="3"/>
  <c r="F4" i="3"/>
  <c r="E4" i="3"/>
  <c r="D4" i="3"/>
  <c r="B4" i="3"/>
  <c r="V6" i="7" l="1"/>
  <c r="V5" i="7"/>
  <c r="B8" i="8"/>
  <c r="N11" i="7"/>
  <c r="N10" i="7"/>
  <c r="M11" i="4"/>
</calcChain>
</file>

<file path=xl/sharedStrings.xml><?xml version="1.0" encoding="utf-8"?>
<sst xmlns="http://schemas.openxmlformats.org/spreadsheetml/2006/main" count="958" uniqueCount="132">
  <si>
    <t>Занятие 8. Фильтрация, сортировка и вычисляемые столбцы</t>
  </si>
  <si>
    <t>Тема</t>
  </si>
  <si>
    <t>Как фильтровать строки, сортировать таблицу и создавать новые столбцы в Excel и Python.</t>
  </si>
  <si>
    <t>Зачем это нужно</t>
  </si>
  <si>
    <t>Фильтрация помогает быстро находить нужные строки, сортировка — видеть приоритеты, а новые столбцы — делать расчёты по данным.</t>
  </si>
  <si>
    <t>Ключевые методы Python</t>
  </si>
  <si>
    <t>pd.read_excel(), df[условие], &amp;, sort_values(), df["new_column"] = ..., sum().</t>
  </si>
  <si>
    <t>Ключевые действия в Excel</t>
  </si>
  <si>
    <t>Автофильтр, IF+AND для проверки условий, сортировка по столбцу, формулы для расчёта revenue.</t>
  </si>
  <si>
    <t>Мини-проект урока</t>
  </si>
  <si>
    <t>Посчитать выручку по заказам, найти крупные заказы и отсортировать их по убыванию.</t>
  </si>
  <si>
    <t>Лист sales_data — исходные данные для ноутбука</t>
  </si>
  <si>
    <t>order_id</t>
  </si>
  <si>
    <t>client</t>
  </si>
  <si>
    <t>city</t>
  </si>
  <si>
    <t>category</t>
  </si>
  <si>
    <t>product</t>
  </si>
  <si>
    <t>quantity</t>
  </si>
  <si>
    <t>price</t>
  </si>
  <si>
    <t>manager</t>
  </si>
  <si>
    <t>channel</t>
  </si>
  <si>
    <t>ООО Альфа</t>
  </si>
  <si>
    <t>Москва</t>
  </si>
  <si>
    <t>Ноутбуки</t>
  </si>
  <si>
    <t>Notebook Air</t>
  </si>
  <si>
    <t>Анна</t>
  </si>
  <si>
    <t>Онлайн</t>
  </si>
  <si>
    <t>ООО Бета</t>
  </si>
  <si>
    <t>Санкт-Петербург</t>
  </si>
  <si>
    <t>Мониторы</t>
  </si>
  <si>
    <t>Monitor 27</t>
  </si>
  <si>
    <t>Борис</t>
  </si>
  <si>
    <t>Офлайн</t>
  </si>
  <si>
    <t>ИП Гамма</t>
  </si>
  <si>
    <t>Notebook Pro</t>
  </si>
  <si>
    <t>ООО Дельта</t>
  </si>
  <si>
    <t>Казань</t>
  </si>
  <si>
    <t>Периферия</t>
  </si>
  <si>
    <t>Mouse Pro</t>
  </si>
  <si>
    <t>Виктор</t>
  </si>
  <si>
    <t>Маркетплейс</t>
  </si>
  <si>
    <t>ООО Эпсилон</t>
  </si>
  <si>
    <t>Monitor 24</t>
  </si>
  <si>
    <t>ИП Жасмин</t>
  </si>
  <si>
    <t>Екатеринбург</t>
  </si>
  <si>
    <t>Notebook Lite</t>
  </si>
  <si>
    <t>ООО Зета</t>
  </si>
  <si>
    <t>Keyboard X</t>
  </si>
  <si>
    <t>ООО Ита</t>
  </si>
  <si>
    <t>Новосибирск</t>
  </si>
  <si>
    <t>ООО Каппа</t>
  </si>
  <si>
    <t>Notebook Start</t>
  </si>
  <si>
    <t>Шаг 1. Загружаем таблицу и смотрим на её структуру</t>
  </si>
  <si>
    <t>Показатель</t>
  </si>
  <si>
    <t>Значение</t>
  </si>
  <si>
    <t>Количество строк</t>
  </si>
  <si>
    <t>Количество столбцов</t>
  </si>
  <si>
    <t>Уникальных категорий</t>
  </si>
  <si>
    <t>Есть ли онлайн-заказы?</t>
  </si>
  <si>
    <t>Шаг 2. Фильтрация по одному условию: category == "Ноутбуки"</t>
  </si>
  <si>
    <t>flag_ноутбуки</t>
  </si>
  <si>
    <t>Результат фильтра</t>
  </si>
  <si>
    <t>Количество строк после фильтра</t>
  </si>
  <si>
    <t>Шаг 3. Фильтрация по двум условиям: city == "Москва" и channel == "Онлайн"</t>
  </si>
  <si>
    <t>flag_москва_онлайн</t>
  </si>
  <si>
    <t>Шаг 4. Сортировка по price по убыванию</t>
  </si>
  <si>
    <t>price_rank</t>
  </si>
  <si>
    <t>Отсортированная таблица</t>
  </si>
  <si>
    <t>Самый дорогой заказ</t>
  </si>
  <si>
    <t>Шаг 5. Создаём столбец revenue и ищем крупные заказы</t>
  </si>
  <si>
    <t>revenue</t>
  </si>
  <si>
    <t>big_order</t>
  </si>
  <si>
    <t>Мини-задача: заказы с revenue &gt;= 100000</t>
  </si>
  <si>
    <t>Общая выручка</t>
  </si>
  <si>
    <t>Количество крупных заказов</t>
  </si>
  <si>
    <t>Тест по занятию 8</t>
  </si>
  <si>
    <t>Вопрос</t>
  </si>
  <si>
    <t>Правильный ответ</t>
  </si>
  <si>
    <t>Подсказка</t>
  </si>
  <si>
    <t>Сколько строк в исходной таблице?</t>
  </si>
  <si>
    <t>Аналог df.shape[0]</t>
  </si>
  <si>
    <t>Сколько заказов попадает в фильтр category == "Ноутбуки"?</t>
  </si>
  <si>
    <t>Смотрите sheet 2 или notebook cell 2</t>
  </si>
  <si>
    <t>Сколько заказов попадает в фильтр city == "Москва" и channel == "Онлайн"?</t>
  </si>
  <si>
    <t>Используйте AND в Excel и &amp; в pandas</t>
  </si>
  <si>
    <t>Какая общая выручка после создания столбца revenue?</t>
  </si>
  <si>
    <t>Это сумма quantity * price</t>
  </si>
  <si>
    <t>Сколько крупных заказов с revenue &gt;= 100000?</t>
  </si>
  <si>
    <t>Смотрите столбец big_order</t>
  </si>
  <si>
    <t>Иванов И.</t>
  </si>
  <si>
    <t>Электроника</t>
  </si>
  <si>
    <t>Смартфон</t>
  </si>
  <si>
    <t>Анна С.</t>
  </si>
  <si>
    <t>Интернет-магазин</t>
  </si>
  <si>
    <t>Петров П.</t>
  </si>
  <si>
    <t>Бытовая техника</t>
  </si>
  <si>
    <t>Стиральная машина</t>
  </si>
  <si>
    <t>Ольга К.</t>
  </si>
  <si>
    <t>Розница</t>
  </si>
  <si>
    <t>Сидорова А.</t>
  </si>
  <si>
    <t>Одежда</t>
  </si>
  <si>
    <t>Футболка</t>
  </si>
  <si>
    <t>Сергей В.</t>
  </si>
  <si>
    <t>Опт</t>
  </si>
  <si>
    <t>Кузнецова М.</t>
  </si>
  <si>
    <t>Книги</t>
  </si>
  <si>
    <t>Роман</t>
  </si>
  <si>
    <t>Дмитрий П.</t>
  </si>
  <si>
    <t>Смирнов Д.</t>
  </si>
  <si>
    <t>Спорттовары</t>
  </si>
  <si>
    <t>Тренажер</t>
  </si>
  <si>
    <t>Екатерина Н.</t>
  </si>
  <si>
    <t>Попова Е.</t>
  </si>
  <si>
    <t>Нижний Новгород</t>
  </si>
  <si>
    <t>Планшет</t>
  </si>
  <si>
    <t>Васильев С.</t>
  </si>
  <si>
    <t>Челябинск</t>
  </si>
  <si>
    <t>Холодильник</t>
  </si>
  <si>
    <t>Михайлова О.</t>
  </si>
  <si>
    <t>Омск</t>
  </si>
  <si>
    <t>Джинсы</t>
  </si>
  <si>
    <t>Новиков А.</t>
  </si>
  <si>
    <t>Ростов-на-Дону</t>
  </si>
  <si>
    <t>Энциклопедия</t>
  </si>
  <si>
    <t>Федорова Н.</t>
  </si>
  <si>
    <t>Уфа</t>
  </si>
  <si>
    <t>Мяч</t>
  </si>
  <si>
    <t>Ноутбук</t>
  </si>
  <si>
    <t>Микроволновка</t>
  </si>
  <si>
    <t>Куртка</t>
  </si>
  <si>
    <t>Учебник</t>
  </si>
  <si>
    <t>Велосипед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</si>
</sst>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3" borderId="1" xfId="1" applyFont="1" applyFill="1" applyBorder="1" applyAlignment="1">
      <alignment horizontal="left" vertical="center" wrapText="1"/>
    </xf>
    <xf numFmtId="0" fontId="0" fillId="0" borderId="1" xfId="1" applyFont="1" applyBorder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left" vertical="center"/>
    </xf>
    <xf numFmtId="3" fontId="0" fillId="0" borderId="1" xfId="1" applyNumberFormat="1" applyFont="1" applyBorder="1" applyAlignment="1">
      <alignment horizontal="center" vertical="center"/>
    </xf>
    <xf numFmtId="0" fontId="2" fillId="3" borderId="1" xfId="1" applyFont="1" applyFill="1" applyBorder="1"/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/>
    <xf numFmtId="0" fontId="2" fillId="5" borderId="1" xfId="1" applyFont="1" applyFill="1" applyBorder="1"/>
    <xf numFmtId="0" fontId="1" fillId="2" borderId="1" xfId="1" applyFont="1" applyFill="1" applyBorder="1" applyAlignment="1">
      <alignment horizontal="left" vertical="center"/>
    </xf>
    <xf numFmtId="0" fontId="0" fillId="0" borderId="2" xfId="1" applyFont="1" applyBorder="1"/>
    <xf numFmtId="0" fontId="0" fillId="0" borderId="3" xfId="1" applyFont="1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sqref="A1:F1"/>
    </sheetView>
  </sheetViews>
  <sheetFormatPr defaultRowHeight="15" x14ac:dyDescent="0.25"/>
  <cols>
    <col min="1" max="1" width="24" customWidth="1"/>
    <col min="2" max="2" width="100" customWidth="1"/>
  </cols>
  <sheetData>
    <row r="1" spans="1:6" ht="26.1" customHeight="1" x14ac:dyDescent="0.25">
      <c r="A1" s="11" t="s">
        <v>0</v>
      </c>
      <c r="B1" s="12"/>
      <c r="C1" s="12"/>
      <c r="D1" s="12"/>
      <c r="E1" s="12"/>
      <c r="F1" s="13"/>
    </row>
    <row r="2" spans="1:6" ht="21.95" customHeight="1" x14ac:dyDescent="0.25"/>
    <row r="3" spans="1:6" ht="24" customHeight="1" x14ac:dyDescent="0.25">
      <c r="A3" s="1" t="s">
        <v>1</v>
      </c>
      <c r="B3" s="2" t="s">
        <v>2</v>
      </c>
    </row>
    <row r="4" spans="1:6" ht="21.95" customHeight="1" x14ac:dyDescent="0.25">
      <c r="A4" s="1" t="s">
        <v>3</v>
      </c>
      <c r="B4" s="2" t="s">
        <v>4</v>
      </c>
    </row>
    <row r="5" spans="1:6" ht="21.95" customHeight="1" x14ac:dyDescent="0.25">
      <c r="A5" s="1" t="s">
        <v>5</v>
      </c>
      <c r="B5" s="2" t="s">
        <v>6</v>
      </c>
    </row>
    <row r="6" spans="1:6" ht="21.95" customHeight="1" x14ac:dyDescent="0.25">
      <c r="A6" s="1" t="s">
        <v>7</v>
      </c>
      <c r="B6" s="2" t="s">
        <v>8</v>
      </c>
    </row>
    <row r="7" spans="1:6" ht="21.95" customHeight="1" x14ac:dyDescent="0.25">
      <c r="A7" s="1" t="s">
        <v>9</v>
      </c>
      <c r="B7" s="2" t="s">
        <v>10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"/>
  <sheetViews>
    <sheetView tabSelected="1" topLeftCell="A85" workbookViewId="0">
      <selection activeCell="B105" sqref="B105"/>
    </sheetView>
  </sheetViews>
  <sheetFormatPr defaultRowHeight="15" x14ac:dyDescent="0.25"/>
  <cols>
    <col min="1" max="1" width="10" customWidth="1"/>
    <col min="2" max="2" width="20" customWidth="1"/>
    <col min="3" max="3" width="18" customWidth="1"/>
    <col min="4" max="4" width="16" customWidth="1"/>
    <col min="5" max="5" width="18" customWidth="1"/>
    <col min="6" max="6" width="10" customWidth="1"/>
    <col min="7" max="7" width="12" customWidth="1"/>
    <col min="8" max="9" width="14" customWidth="1"/>
  </cols>
  <sheetData>
    <row r="1" spans="1:9" ht="26.1" customHeight="1" x14ac:dyDescent="0.25">
      <c r="A1" s="11" t="s">
        <v>11</v>
      </c>
      <c r="B1" s="12"/>
      <c r="C1" s="12"/>
      <c r="D1" s="12"/>
      <c r="E1" s="12"/>
      <c r="F1" s="12"/>
      <c r="G1" s="12"/>
      <c r="H1" s="12"/>
      <c r="I1" s="13"/>
    </row>
    <row r="2" spans="1:9" ht="21.95" customHeight="1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</row>
    <row r="3" spans="1:9" ht="24" customHeight="1" x14ac:dyDescent="0.25">
      <c r="A3">
        <v>1</v>
      </c>
      <c r="B3" t="s">
        <v>89</v>
      </c>
      <c r="C3" t="s">
        <v>22</v>
      </c>
      <c r="D3" t="s">
        <v>90</v>
      </c>
      <c r="E3" t="s">
        <v>91</v>
      </c>
      <c r="F3">
        <v>1</v>
      </c>
      <c r="G3">
        <v>30000</v>
      </c>
      <c r="H3" t="s">
        <v>92</v>
      </c>
      <c r="I3" t="s">
        <v>93</v>
      </c>
    </row>
    <row r="4" spans="1:9" ht="21.95" customHeight="1" x14ac:dyDescent="0.25">
      <c r="A4">
        <v>2</v>
      </c>
      <c r="B4" t="s">
        <v>94</v>
      </c>
      <c r="C4" t="s">
        <v>28</v>
      </c>
      <c r="D4" t="s">
        <v>95</v>
      </c>
      <c r="E4" t="s">
        <v>96</v>
      </c>
      <c r="F4">
        <v>2</v>
      </c>
      <c r="G4">
        <v>25010</v>
      </c>
      <c r="H4" t="s">
        <v>97</v>
      </c>
      <c r="I4" t="s">
        <v>98</v>
      </c>
    </row>
    <row r="5" spans="1:9" ht="21.95" customHeight="1" x14ac:dyDescent="0.25">
      <c r="A5">
        <v>3</v>
      </c>
      <c r="B5" t="s">
        <v>99</v>
      </c>
      <c r="C5" t="s">
        <v>44</v>
      </c>
      <c r="D5" t="s">
        <v>100</v>
      </c>
      <c r="E5" t="s">
        <v>101</v>
      </c>
      <c r="F5">
        <v>3</v>
      </c>
      <c r="G5">
        <v>1020</v>
      </c>
      <c r="H5" t="s">
        <v>102</v>
      </c>
      <c r="I5" t="s">
        <v>103</v>
      </c>
    </row>
    <row r="6" spans="1:9" ht="21.95" customHeight="1" x14ac:dyDescent="0.25">
      <c r="A6">
        <v>4</v>
      </c>
      <c r="B6" t="s">
        <v>104</v>
      </c>
      <c r="C6" t="s">
        <v>49</v>
      </c>
      <c r="D6" t="s">
        <v>105</v>
      </c>
      <c r="E6" t="s">
        <v>106</v>
      </c>
      <c r="F6">
        <v>4</v>
      </c>
      <c r="G6">
        <v>530</v>
      </c>
      <c r="H6" t="s">
        <v>107</v>
      </c>
      <c r="I6" t="s">
        <v>93</v>
      </c>
    </row>
    <row r="7" spans="1:9" ht="21.95" customHeight="1" x14ac:dyDescent="0.25">
      <c r="A7">
        <v>5</v>
      </c>
      <c r="B7" t="s">
        <v>108</v>
      </c>
      <c r="C7" t="s">
        <v>36</v>
      </c>
      <c r="D7" t="s">
        <v>109</v>
      </c>
      <c r="E7" t="s">
        <v>110</v>
      </c>
      <c r="F7">
        <v>5</v>
      </c>
      <c r="G7">
        <v>8040</v>
      </c>
      <c r="H7" t="s">
        <v>111</v>
      </c>
      <c r="I7" t="s">
        <v>98</v>
      </c>
    </row>
    <row r="8" spans="1:9" ht="21.95" customHeight="1" x14ac:dyDescent="0.25">
      <c r="A8">
        <v>6</v>
      </c>
      <c r="B8" t="s">
        <v>112</v>
      </c>
      <c r="C8" t="s">
        <v>113</v>
      </c>
      <c r="D8" t="s">
        <v>90</v>
      </c>
      <c r="E8" t="s">
        <v>114</v>
      </c>
      <c r="F8">
        <v>6</v>
      </c>
      <c r="G8">
        <v>20050</v>
      </c>
      <c r="H8" t="s">
        <v>92</v>
      </c>
      <c r="I8" t="s">
        <v>103</v>
      </c>
    </row>
    <row r="9" spans="1:9" ht="21.95" customHeight="1" x14ac:dyDescent="0.25">
      <c r="A9">
        <v>7</v>
      </c>
      <c r="B9" t="s">
        <v>115</v>
      </c>
      <c r="C9" t="s">
        <v>116</v>
      </c>
      <c r="D9" t="s">
        <v>95</v>
      </c>
      <c r="E9" t="s">
        <v>117</v>
      </c>
      <c r="F9">
        <v>7</v>
      </c>
      <c r="G9">
        <v>35060</v>
      </c>
      <c r="H9" t="s">
        <v>97</v>
      </c>
      <c r="I9" t="s">
        <v>93</v>
      </c>
    </row>
    <row r="10" spans="1:9" ht="21.95" customHeight="1" x14ac:dyDescent="0.25">
      <c r="A10">
        <v>8</v>
      </c>
      <c r="B10" t="s">
        <v>118</v>
      </c>
      <c r="C10" t="s">
        <v>119</v>
      </c>
      <c r="D10" t="s">
        <v>100</v>
      </c>
      <c r="E10" t="s">
        <v>120</v>
      </c>
      <c r="F10">
        <v>8</v>
      </c>
      <c r="G10">
        <v>2070</v>
      </c>
      <c r="H10" t="s">
        <v>102</v>
      </c>
      <c r="I10" t="s">
        <v>98</v>
      </c>
    </row>
    <row r="11" spans="1:9" ht="21.95" customHeight="1" x14ac:dyDescent="0.25">
      <c r="A11">
        <v>9</v>
      </c>
      <c r="B11" t="s">
        <v>121</v>
      </c>
      <c r="C11" t="s">
        <v>122</v>
      </c>
      <c r="D11" t="s">
        <v>105</v>
      </c>
      <c r="E11" t="s">
        <v>123</v>
      </c>
      <c r="F11">
        <v>9</v>
      </c>
      <c r="G11">
        <v>1580</v>
      </c>
      <c r="H11" t="s">
        <v>107</v>
      </c>
      <c r="I11" t="s">
        <v>103</v>
      </c>
    </row>
    <row r="12" spans="1:9" x14ac:dyDescent="0.25">
      <c r="A12">
        <v>10</v>
      </c>
      <c r="B12" t="s">
        <v>124</v>
      </c>
      <c r="C12" t="s">
        <v>125</v>
      </c>
      <c r="D12" t="s">
        <v>109</v>
      </c>
      <c r="E12" t="s">
        <v>126</v>
      </c>
      <c r="F12">
        <v>10</v>
      </c>
      <c r="G12">
        <v>1090</v>
      </c>
      <c r="H12" t="s">
        <v>111</v>
      </c>
      <c r="I12" t="s">
        <v>93</v>
      </c>
    </row>
    <row r="13" spans="1:9" x14ac:dyDescent="0.25">
      <c r="A13">
        <v>11</v>
      </c>
      <c r="B13" t="s">
        <v>89</v>
      </c>
      <c r="C13" t="s">
        <v>22</v>
      </c>
      <c r="D13" t="s">
        <v>90</v>
      </c>
      <c r="E13" t="s">
        <v>127</v>
      </c>
      <c r="F13">
        <v>1</v>
      </c>
      <c r="G13">
        <v>45100</v>
      </c>
      <c r="H13" t="s">
        <v>92</v>
      </c>
      <c r="I13" t="s">
        <v>98</v>
      </c>
    </row>
    <row r="14" spans="1:9" x14ac:dyDescent="0.25">
      <c r="A14">
        <v>12</v>
      </c>
      <c r="B14" t="s">
        <v>94</v>
      </c>
      <c r="C14" t="s">
        <v>28</v>
      </c>
      <c r="D14" t="s">
        <v>95</v>
      </c>
      <c r="E14" t="s">
        <v>128</v>
      </c>
      <c r="F14">
        <v>2</v>
      </c>
      <c r="G14">
        <v>8110</v>
      </c>
      <c r="H14" t="s">
        <v>97</v>
      </c>
      <c r="I14" t="s">
        <v>103</v>
      </c>
    </row>
    <row r="15" spans="1:9" x14ac:dyDescent="0.25">
      <c r="A15">
        <v>13</v>
      </c>
      <c r="B15" t="s">
        <v>99</v>
      </c>
      <c r="C15" t="s">
        <v>44</v>
      </c>
      <c r="D15" t="s">
        <v>100</v>
      </c>
      <c r="E15" t="s">
        <v>129</v>
      </c>
      <c r="F15">
        <v>3</v>
      </c>
      <c r="G15">
        <v>3120</v>
      </c>
      <c r="H15" t="s">
        <v>102</v>
      </c>
      <c r="I15" t="s">
        <v>93</v>
      </c>
    </row>
    <row r="16" spans="1:9" x14ac:dyDescent="0.25">
      <c r="A16">
        <v>14</v>
      </c>
      <c r="B16" t="s">
        <v>104</v>
      </c>
      <c r="C16" t="s">
        <v>49</v>
      </c>
      <c r="D16" t="s">
        <v>105</v>
      </c>
      <c r="E16" t="s">
        <v>130</v>
      </c>
      <c r="F16">
        <v>4</v>
      </c>
      <c r="G16">
        <v>830</v>
      </c>
      <c r="H16" t="s">
        <v>107</v>
      </c>
      <c r="I16" t="s">
        <v>98</v>
      </c>
    </row>
    <row r="17" spans="1:9" x14ac:dyDescent="0.25">
      <c r="A17">
        <v>15</v>
      </c>
      <c r="B17" t="s">
        <v>108</v>
      </c>
      <c r="C17" t="s">
        <v>36</v>
      </c>
      <c r="D17" t="s">
        <v>109</v>
      </c>
      <c r="E17" t="s">
        <v>131</v>
      </c>
      <c r="F17">
        <v>5</v>
      </c>
      <c r="G17">
        <v>12140</v>
      </c>
      <c r="H17" t="s">
        <v>111</v>
      </c>
      <c r="I17" t="s">
        <v>103</v>
      </c>
    </row>
    <row r="18" spans="1:9" x14ac:dyDescent="0.25">
      <c r="A18">
        <v>16</v>
      </c>
      <c r="B18" t="s">
        <v>112</v>
      </c>
      <c r="C18" t="s">
        <v>113</v>
      </c>
      <c r="D18" t="s">
        <v>90</v>
      </c>
      <c r="E18" t="s">
        <v>91</v>
      </c>
      <c r="F18">
        <v>6</v>
      </c>
      <c r="G18">
        <v>30150</v>
      </c>
      <c r="H18" t="s">
        <v>92</v>
      </c>
      <c r="I18" t="s">
        <v>93</v>
      </c>
    </row>
    <row r="19" spans="1:9" x14ac:dyDescent="0.25">
      <c r="A19">
        <v>17</v>
      </c>
      <c r="B19" t="s">
        <v>115</v>
      </c>
      <c r="C19" t="s">
        <v>116</v>
      </c>
      <c r="D19" t="s">
        <v>95</v>
      </c>
      <c r="E19" t="s">
        <v>96</v>
      </c>
      <c r="F19">
        <v>7</v>
      </c>
      <c r="G19">
        <v>25160</v>
      </c>
      <c r="H19" t="s">
        <v>97</v>
      </c>
      <c r="I19" t="s">
        <v>98</v>
      </c>
    </row>
    <row r="20" spans="1:9" x14ac:dyDescent="0.25">
      <c r="A20">
        <v>18</v>
      </c>
      <c r="B20" t="s">
        <v>118</v>
      </c>
      <c r="C20" t="s">
        <v>119</v>
      </c>
      <c r="D20" t="s">
        <v>100</v>
      </c>
      <c r="E20" t="s">
        <v>101</v>
      </c>
      <c r="F20">
        <v>8</v>
      </c>
      <c r="G20">
        <v>1170</v>
      </c>
      <c r="H20" t="s">
        <v>102</v>
      </c>
      <c r="I20" t="s">
        <v>103</v>
      </c>
    </row>
    <row r="21" spans="1:9" x14ac:dyDescent="0.25">
      <c r="A21">
        <v>19</v>
      </c>
      <c r="B21" t="s">
        <v>121</v>
      </c>
      <c r="C21" t="s">
        <v>122</v>
      </c>
      <c r="D21" t="s">
        <v>105</v>
      </c>
      <c r="E21" t="s">
        <v>106</v>
      </c>
      <c r="F21">
        <v>9</v>
      </c>
      <c r="G21">
        <v>680</v>
      </c>
      <c r="H21" t="s">
        <v>107</v>
      </c>
      <c r="I21" t="s">
        <v>93</v>
      </c>
    </row>
    <row r="22" spans="1:9" x14ac:dyDescent="0.25">
      <c r="A22">
        <v>20</v>
      </c>
      <c r="B22" t="s">
        <v>124</v>
      </c>
      <c r="C22" t="s">
        <v>125</v>
      </c>
      <c r="D22" t="s">
        <v>109</v>
      </c>
      <c r="E22" t="s">
        <v>110</v>
      </c>
      <c r="F22">
        <v>10</v>
      </c>
      <c r="G22">
        <v>8190</v>
      </c>
      <c r="H22" t="s">
        <v>111</v>
      </c>
      <c r="I22" t="s">
        <v>98</v>
      </c>
    </row>
    <row r="23" spans="1:9" x14ac:dyDescent="0.25">
      <c r="A23">
        <v>21</v>
      </c>
      <c r="B23" t="s">
        <v>89</v>
      </c>
      <c r="C23" t="s">
        <v>22</v>
      </c>
      <c r="D23" t="s">
        <v>90</v>
      </c>
      <c r="E23" t="s">
        <v>114</v>
      </c>
      <c r="F23">
        <v>1</v>
      </c>
      <c r="G23">
        <v>20200</v>
      </c>
      <c r="H23" t="s">
        <v>92</v>
      </c>
      <c r="I23" t="s">
        <v>103</v>
      </c>
    </row>
    <row r="24" spans="1:9" x14ac:dyDescent="0.25">
      <c r="A24">
        <v>22</v>
      </c>
      <c r="B24" t="s">
        <v>94</v>
      </c>
      <c r="C24" t="s">
        <v>28</v>
      </c>
      <c r="D24" t="s">
        <v>95</v>
      </c>
      <c r="E24" t="s">
        <v>117</v>
      </c>
      <c r="F24">
        <v>2</v>
      </c>
      <c r="G24">
        <v>35210</v>
      </c>
      <c r="H24" t="s">
        <v>97</v>
      </c>
      <c r="I24" t="s">
        <v>93</v>
      </c>
    </row>
    <row r="25" spans="1:9" x14ac:dyDescent="0.25">
      <c r="A25">
        <v>23</v>
      </c>
      <c r="B25" t="s">
        <v>99</v>
      </c>
      <c r="C25" t="s">
        <v>44</v>
      </c>
      <c r="D25" t="s">
        <v>100</v>
      </c>
      <c r="E25" t="s">
        <v>120</v>
      </c>
      <c r="F25">
        <v>3</v>
      </c>
      <c r="G25">
        <v>2220</v>
      </c>
      <c r="H25" t="s">
        <v>102</v>
      </c>
      <c r="I25" t="s">
        <v>98</v>
      </c>
    </row>
    <row r="26" spans="1:9" x14ac:dyDescent="0.25">
      <c r="A26">
        <v>24</v>
      </c>
      <c r="B26" t="s">
        <v>104</v>
      </c>
      <c r="C26" t="s">
        <v>49</v>
      </c>
      <c r="D26" t="s">
        <v>105</v>
      </c>
      <c r="E26" t="s">
        <v>123</v>
      </c>
      <c r="F26">
        <v>4</v>
      </c>
      <c r="G26">
        <v>1730</v>
      </c>
      <c r="H26" t="s">
        <v>107</v>
      </c>
      <c r="I26" t="s">
        <v>103</v>
      </c>
    </row>
    <row r="27" spans="1:9" x14ac:dyDescent="0.25">
      <c r="A27">
        <v>25</v>
      </c>
      <c r="B27" t="s">
        <v>108</v>
      </c>
      <c r="C27" t="s">
        <v>36</v>
      </c>
      <c r="D27" t="s">
        <v>109</v>
      </c>
      <c r="E27" t="s">
        <v>126</v>
      </c>
      <c r="F27">
        <v>5</v>
      </c>
      <c r="G27">
        <v>1240</v>
      </c>
      <c r="H27" t="s">
        <v>111</v>
      </c>
      <c r="I27" t="s">
        <v>93</v>
      </c>
    </row>
    <row r="28" spans="1:9" x14ac:dyDescent="0.25">
      <c r="A28">
        <v>26</v>
      </c>
      <c r="B28" t="s">
        <v>112</v>
      </c>
      <c r="C28" t="s">
        <v>113</v>
      </c>
      <c r="D28" t="s">
        <v>90</v>
      </c>
      <c r="E28" t="s">
        <v>127</v>
      </c>
      <c r="F28">
        <v>6</v>
      </c>
      <c r="G28">
        <v>45250</v>
      </c>
      <c r="H28" t="s">
        <v>92</v>
      </c>
      <c r="I28" t="s">
        <v>98</v>
      </c>
    </row>
    <row r="29" spans="1:9" x14ac:dyDescent="0.25">
      <c r="A29">
        <v>27</v>
      </c>
      <c r="B29" t="s">
        <v>115</v>
      </c>
      <c r="C29" t="s">
        <v>116</v>
      </c>
      <c r="D29" t="s">
        <v>95</v>
      </c>
      <c r="E29" t="s">
        <v>128</v>
      </c>
      <c r="F29">
        <v>7</v>
      </c>
      <c r="G29">
        <v>8260</v>
      </c>
      <c r="H29" t="s">
        <v>97</v>
      </c>
      <c r="I29" t="s">
        <v>103</v>
      </c>
    </row>
    <row r="30" spans="1:9" x14ac:dyDescent="0.25">
      <c r="A30">
        <v>28</v>
      </c>
      <c r="B30" t="s">
        <v>118</v>
      </c>
      <c r="C30" t="s">
        <v>119</v>
      </c>
      <c r="D30" t="s">
        <v>100</v>
      </c>
      <c r="E30" t="s">
        <v>129</v>
      </c>
      <c r="F30">
        <v>8</v>
      </c>
      <c r="G30">
        <v>3270</v>
      </c>
      <c r="H30" t="s">
        <v>102</v>
      </c>
      <c r="I30" t="s">
        <v>93</v>
      </c>
    </row>
    <row r="31" spans="1:9" x14ac:dyDescent="0.25">
      <c r="A31">
        <v>29</v>
      </c>
      <c r="B31" t="s">
        <v>121</v>
      </c>
      <c r="C31" t="s">
        <v>122</v>
      </c>
      <c r="D31" t="s">
        <v>105</v>
      </c>
      <c r="E31" t="s">
        <v>130</v>
      </c>
      <c r="F31">
        <v>9</v>
      </c>
      <c r="G31">
        <v>980</v>
      </c>
      <c r="H31" t="s">
        <v>107</v>
      </c>
      <c r="I31" t="s">
        <v>98</v>
      </c>
    </row>
    <row r="32" spans="1:9" x14ac:dyDescent="0.25">
      <c r="A32">
        <v>30</v>
      </c>
      <c r="B32" t="s">
        <v>124</v>
      </c>
      <c r="C32" t="s">
        <v>125</v>
      </c>
      <c r="D32" t="s">
        <v>109</v>
      </c>
      <c r="E32" t="s">
        <v>131</v>
      </c>
      <c r="F32">
        <v>10</v>
      </c>
      <c r="G32">
        <v>12290</v>
      </c>
      <c r="H32" t="s">
        <v>111</v>
      </c>
      <c r="I32" t="s">
        <v>103</v>
      </c>
    </row>
    <row r="33" spans="1:9" x14ac:dyDescent="0.25">
      <c r="A33">
        <v>31</v>
      </c>
      <c r="B33" t="s">
        <v>89</v>
      </c>
      <c r="C33" t="s">
        <v>22</v>
      </c>
      <c r="D33" t="s">
        <v>90</v>
      </c>
      <c r="E33" t="s">
        <v>91</v>
      </c>
      <c r="F33">
        <v>1</v>
      </c>
      <c r="G33">
        <v>30300</v>
      </c>
      <c r="H33" t="s">
        <v>92</v>
      </c>
      <c r="I33" t="s">
        <v>93</v>
      </c>
    </row>
    <row r="34" spans="1:9" x14ac:dyDescent="0.25">
      <c r="A34">
        <v>32</v>
      </c>
      <c r="B34" t="s">
        <v>94</v>
      </c>
      <c r="C34" t="s">
        <v>28</v>
      </c>
      <c r="D34" t="s">
        <v>95</v>
      </c>
      <c r="E34" t="s">
        <v>96</v>
      </c>
      <c r="F34">
        <v>2</v>
      </c>
      <c r="G34">
        <v>25310</v>
      </c>
      <c r="H34" t="s">
        <v>97</v>
      </c>
      <c r="I34" t="s">
        <v>98</v>
      </c>
    </row>
    <row r="35" spans="1:9" x14ac:dyDescent="0.25">
      <c r="A35">
        <v>33</v>
      </c>
      <c r="B35" t="s">
        <v>99</v>
      </c>
      <c r="C35" t="s">
        <v>44</v>
      </c>
      <c r="D35" t="s">
        <v>100</v>
      </c>
      <c r="E35" t="s">
        <v>101</v>
      </c>
      <c r="F35">
        <v>3</v>
      </c>
      <c r="G35">
        <v>1320</v>
      </c>
      <c r="H35" t="s">
        <v>102</v>
      </c>
      <c r="I35" t="s">
        <v>103</v>
      </c>
    </row>
    <row r="36" spans="1:9" x14ac:dyDescent="0.25">
      <c r="A36">
        <v>34</v>
      </c>
      <c r="B36" t="s">
        <v>104</v>
      </c>
      <c r="C36" t="s">
        <v>49</v>
      </c>
      <c r="D36" t="s">
        <v>105</v>
      </c>
      <c r="E36" t="s">
        <v>106</v>
      </c>
      <c r="F36">
        <v>4</v>
      </c>
      <c r="G36">
        <v>830</v>
      </c>
      <c r="H36" t="s">
        <v>107</v>
      </c>
      <c r="I36" t="s">
        <v>93</v>
      </c>
    </row>
    <row r="37" spans="1:9" x14ac:dyDescent="0.25">
      <c r="A37">
        <v>35</v>
      </c>
      <c r="B37" t="s">
        <v>108</v>
      </c>
      <c r="C37" t="s">
        <v>36</v>
      </c>
      <c r="D37" t="s">
        <v>109</v>
      </c>
      <c r="E37" t="s">
        <v>110</v>
      </c>
      <c r="F37">
        <v>5</v>
      </c>
      <c r="G37">
        <v>8340</v>
      </c>
      <c r="H37" t="s">
        <v>111</v>
      </c>
      <c r="I37" t="s">
        <v>98</v>
      </c>
    </row>
    <row r="38" spans="1:9" x14ac:dyDescent="0.25">
      <c r="A38">
        <v>36</v>
      </c>
      <c r="B38" t="s">
        <v>112</v>
      </c>
      <c r="C38" t="s">
        <v>113</v>
      </c>
      <c r="D38" t="s">
        <v>90</v>
      </c>
      <c r="E38" t="s">
        <v>114</v>
      </c>
      <c r="F38">
        <v>6</v>
      </c>
      <c r="G38">
        <v>20350</v>
      </c>
      <c r="H38" t="s">
        <v>92</v>
      </c>
      <c r="I38" t="s">
        <v>103</v>
      </c>
    </row>
    <row r="39" spans="1:9" x14ac:dyDescent="0.25">
      <c r="A39">
        <v>37</v>
      </c>
      <c r="B39" t="s">
        <v>115</v>
      </c>
      <c r="C39" t="s">
        <v>116</v>
      </c>
      <c r="D39" t="s">
        <v>95</v>
      </c>
      <c r="E39" t="s">
        <v>117</v>
      </c>
      <c r="F39">
        <v>7</v>
      </c>
      <c r="G39">
        <v>35360</v>
      </c>
      <c r="H39" t="s">
        <v>97</v>
      </c>
      <c r="I39" t="s">
        <v>93</v>
      </c>
    </row>
    <row r="40" spans="1:9" x14ac:dyDescent="0.25">
      <c r="A40">
        <v>38</v>
      </c>
      <c r="B40" t="s">
        <v>118</v>
      </c>
      <c r="C40" t="s">
        <v>119</v>
      </c>
      <c r="D40" t="s">
        <v>100</v>
      </c>
      <c r="E40" t="s">
        <v>120</v>
      </c>
      <c r="F40">
        <v>8</v>
      </c>
      <c r="G40">
        <v>2370</v>
      </c>
      <c r="H40" t="s">
        <v>102</v>
      </c>
      <c r="I40" t="s">
        <v>98</v>
      </c>
    </row>
    <row r="41" spans="1:9" x14ac:dyDescent="0.25">
      <c r="A41">
        <v>39</v>
      </c>
      <c r="B41" t="s">
        <v>121</v>
      </c>
      <c r="C41" t="s">
        <v>122</v>
      </c>
      <c r="D41" t="s">
        <v>105</v>
      </c>
      <c r="E41" t="s">
        <v>123</v>
      </c>
      <c r="F41">
        <v>9</v>
      </c>
      <c r="G41">
        <v>1880</v>
      </c>
      <c r="H41" t="s">
        <v>107</v>
      </c>
      <c r="I41" t="s">
        <v>103</v>
      </c>
    </row>
    <row r="42" spans="1:9" x14ac:dyDescent="0.25">
      <c r="A42">
        <v>40</v>
      </c>
      <c r="B42" t="s">
        <v>124</v>
      </c>
      <c r="C42" t="s">
        <v>125</v>
      </c>
      <c r="D42" t="s">
        <v>109</v>
      </c>
      <c r="E42" t="s">
        <v>126</v>
      </c>
      <c r="F42">
        <v>10</v>
      </c>
      <c r="G42">
        <v>1390</v>
      </c>
      <c r="H42" t="s">
        <v>111</v>
      </c>
      <c r="I42" t="s">
        <v>93</v>
      </c>
    </row>
    <row r="43" spans="1:9" x14ac:dyDescent="0.25">
      <c r="A43">
        <v>41</v>
      </c>
      <c r="B43" t="s">
        <v>89</v>
      </c>
      <c r="C43" t="s">
        <v>22</v>
      </c>
      <c r="D43" t="s">
        <v>90</v>
      </c>
      <c r="E43" t="s">
        <v>127</v>
      </c>
      <c r="F43">
        <v>1</v>
      </c>
      <c r="G43">
        <v>45400</v>
      </c>
      <c r="H43" t="s">
        <v>92</v>
      </c>
      <c r="I43" t="s">
        <v>98</v>
      </c>
    </row>
    <row r="44" spans="1:9" x14ac:dyDescent="0.25">
      <c r="A44">
        <v>42</v>
      </c>
      <c r="B44" t="s">
        <v>94</v>
      </c>
      <c r="C44" t="s">
        <v>28</v>
      </c>
      <c r="D44" t="s">
        <v>95</v>
      </c>
      <c r="E44" t="s">
        <v>128</v>
      </c>
      <c r="F44">
        <v>2</v>
      </c>
      <c r="G44">
        <v>8410</v>
      </c>
      <c r="H44" t="s">
        <v>97</v>
      </c>
      <c r="I44" t="s">
        <v>103</v>
      </c>
    </row>
    <row r="45" spans="1:9" x14ac:dyDescent="0.25">
      <c r="A45">
        <v>43</v>
      </c>
      <c r="B45" t="s">
        <v>99</v>
      </c>
      <c r="C45" t="s">
        <v>44</v>
      </c>
      <c r="D45" t="s">
        <v>100</v>
      </c>
      <c r="E45" t="s">
        <v>129</v>
      </c>
      <c r="F45">
        <v>3</v>
      </c>
      <c r="G45">
        <v>3420</v>
      </c>
      <c r="H45" t="s">
        <v>102</v>
      </c>
      <c r="I45" t="s">
        <v>93</v>
      </c>
    </row>
    <row r="46" spans="1:9" x14ac:dyDescent="0.25">
      <c r="A46">
        <v>44</v>
      </c>
      <c r="B46" t="s">
        <v>104</v>
      </c>
      <c r="C46" t="s">
        <v>49</v>
      </c>
      <c r="D46" t="s">
        <v>105</v>
      </c>
      <c r="E46" t="s">
        <v>130</v>
      </c>
      <c r="F46">
        <v>4</v>
      </c>
      <c r="G46">
        <v>1130</v>
      </c>
      <c r="H46" t="s">
        <v>107</v>
      </c>
      <c r="I46" t="s">
        <v>98</v>
      </c>
    </row>
    <row r="47" spans="1:9" x14ac:dyDescent="0.25">
      <c r="A47">
        <v>45</v>
      </c>
      <c r="B47" t="s">
        <v>108</v>
      </c>
      <c r="C47" t="s">
        <v>36</v>
      </c>
      <c r="D47" t="s">
        <v>109</v>
      </c>
      <c r="E47" t="s">
        <v>131</v>
      </c>
      <c r="F47">
        <v>5</v>
      </c>
      <c r="G47">
        <v>12440</v>
      </c>
      <c r="H47" t="s">
        <v>111</v>
      </c>
      <c r="I47" t="s">
        <v>103</v>
      </c>
    </row>
    <row r="48" spans="1:9" x14ac:dyDescent="0.25">
      <c r="A48">
        <v>46</v>
      </c>
      <c r="B48" t="s">
        <v>112</v>
      </c>
      <c r="C48" t="s">
        <v>113</v>
      </c>
      <c r="D48" t="s">
        <v>90</v>
      </c>
      <c r="E48" t="s">
        <v>91</v>
      </c>
      <c r="F48">
        <v>6</v>
      </c>
      <c r="G48">
        <v>30450</v>
      </c>
      <c r="H48" t="s">
        <v>92</v>
      </c>
      <c r="I48" t="s">
        <v>93</v>
      </c>
    </row>
    <row r="49" spans="1:9" x14ac:dyDescent="0.25">
      <c r="A49">
        <v>47</v>
      </c>
      <c r="B49" t="s">
        <v>115</v>
      </c>
      <c r="C49" t="s">
        <v>116</v>
      </c>
      <c r="D49" t="s">
        <v>95</v>
      </c>
      <c r="E49" t="s">
        <v>96</v>
      </c>
      <c r="F49">
        <v>7</v>
      </c>
      <c r="G49">
        <v>25460</v>
      </c>
      <c r="H49" t="s">
        <v>97</v>
      </c>
      <c r="I49" t="s">
        <v>98</v>
      </c>
    </row>
    <row r="50" spans="1:9" x14ac:dyDescent="0.25">
      <c r="A50">
        <v>48</v>
      </c>
      <c r="B50" t="s">
        <v>118</v>
      </c>
      <c r="C50" t="s">
        <v>119</v>
      </c>
      <c r="D50" t="s">
        <v>100</v>
      </c>
      <c r="E50" t="s">
        <v>101</v>
      </c>
      <c r="F50">
        <v>8</v>
      </c>
      <c r="G50">
        <v>1470</v>
      </c>
      <c r="H50" t="s">
        <v>102</v>
      </c>
      <c r="I50" t="s">
        <v>103</v>
      </c>
    </row>
    <row r="51" spans="1:9" x14ac:dyDescent="0.25">
      <c r="A51">
        <v>49</v>
      </c>
      <c r="B51" t="s">
        <v>121</v>
      </c>
      <c r="C51" t="s">
        <v>122</v>
      </c>
      <c r="D51" t="s">
        <v>105</v>
      </c>
      <c r="E51" t="s">
        <v>106</v>
      </c>
      <c r="F51">
        <v>9</v>
      </c>
      <c r="G51">
        <v>980</v>
      </c>
      <c r="H51" t="s">
        <v>107</v>
      </c>
      <c r="I51" t="s">
        <v>93</v>
      </c>
    </row>
    <row r="52" spans="1:9" x14ac:dyDescent="0.25">
      <c r="A52">
        <v>50</v>
      </c>
      <c r="B52" t="s">
        <v>124</v>
      </c>
      <c r="C52" t="s">
        <v>125</v>
      </c>
      <c r="D52" t="s">
        <v>109</v>
      </c>
      <c r="E52" t="s">
        <v>110</v>
      </c>
      <c r="F52">
        <v>10</v>
      </c>
      <c r="G52">
        <v>8490</v>
      </c>
      <c r="H52" t="s">
        <v>111</v>
      </c>
      <c r="I52" t="s">
        <v>98</v>
      </c>
    </row>
    <row r="53" spans="1:9" x14ac:dyDescent="0.25">
      <c r="A53">
        <v>51</v>
      </c>
      <c r="B53" t="s">
        <v>89</v>
      </c>
      <c r="C53" t="s">
        <v>22</v>
      </c>
      <c r="D53" t="s">
        <v>90</v>
      </c>
      <c r="E53" t="s">
        <v>114</v>
      </c>
      <c r="F53">
        <v>1</v>
      </c>
      <c r="G53">
        <v>20500</v>
      </c>
      <c r="H53" t="s">
        <v>92</v>
      </c>
      <c r="I53" t="s">
        <v>103</v>
      </c>
    </row>
    <row r="54" spans="1:9" x14ac:dyDescent="0.25">
      <c r="A54">
        <v>52</v>
      </c>
      <c r="B54" t="s">
        <v>94</v>
      </c>
      <c r="C54" t="s">
        <v>28</v>
      </c>
      <c r="D54" t="s">
        <v>95</v>
      </c>
      <c r="E54" t="s">
        <v>117</v>
      </c>
      <c r="F54">
        <v>2</v>
      </c>
      <c r="G54">
        <v>35510</v>
      </c>
      <c r="H54" t="s">
        <v>97</v>
      </c>
      <c r="I54" t="s">
        <v>93</v>
      </c>
    </row>
    <row r="55" spans="1:9" x14ac:dyDescent="0.25">
      <c r="A55">
        <v>53</v>
      </c>
      <c r="B55" t="s">
        <v>99</v>
      </c>
      <c r="C55" t="s">
        <v>44</v>
      </c>
      <c r="D55" t="s">
        <v>100</v>
      </c>
      <c r="E55" t="s">
        <v>120</v>
      </c>
      <c r="F55">
        <v>3</v>
      </c>
      <c r="G55">
        <v>2520</v>
      </c>
      <c r="H55" t="s">
        <v>102</v>
      </c>
      <c r="I55" t="s">
        <v>98</v>
      </c>
    </row>
    <row r="56" spans="1:9" x14ac:dyDescent="0.25">
      <c r="A56">
        <v>54</v>
      </c>
      <c r="B56" t="s">
        <v>104</v>
      </c>
      <c r="C56" t="s">
        <v>49</v>
      </c>
      <c r="D56" t="s">
        <v>105</v>
      </c>
      <c r="E56" t="s">
        <v>123</v>
      </c>
      <c r="F56">
        <v>4</v>
      </c>
      <c r="G56">
        <v>2030</v>
      </c>
      <c r="H56" t="s">
        <v>107</v>
      </c>
      <c r="I56" t="s">
        <v>103</v>
      </c>
    </row>
    <row r="57" spans="1:9" x14ac:dyDescent="0.25">
      <c r="A57">
        <v>55</v>
      </c>
      <c r="B57" t="s">
        <v>108</v>
      </c>
      <c r="C57" t="s">
        <v>36</v>
      </c>
      <c r="D57" t="s">
        <v>109</v>
      </c>
      <c r="E57" t="s">
        <v>126</v>
      </c>
      <c r="F57">
        <v>5</v>
      </c>
      <c r="G57">
        <v>1540</v>
      </c>
      <c r="H57" t="s">
        <v>111</v>
      </c>
      <c r="I57" t="s">
        <v>93</v>
      </c>
    </row>
    <row r="58" spans="1:9" x14ac:dyDescent="0.25">
      <c r="A58">
        <v>56</v>
      </c>
      <c r="B58" t="s">
        <v>112</v>
      </c>
      <c r="C58" t="s">
        <v>113</v>
      </c>
      <c r="D58" t="s">
        <v>90</v>
      </c>
      <c r="E58" t="s">
        <v>127</v>
      </c>
      <c r="F58">
        <v>6</v>
      </c>
      <c r="G58">
        <v>45550</v>
      </c>
      <c r="H58" t="s">
        <v>92</v>
      </c>
      <c r="I58" t="s">
        <v>98</v>
      </c>
    </row>
    <row r="59" spans="1:9" x14ac:dyDescent="0.25">
      <c r="A59">
        <v>57</v>
      </c>
      <c r="B59" t="s">
        <v>115</v>
      </c>
      <c r="C59" t="s">
        <v>116</v>
      </c>
      <c r="D59" t="s">
        <v>95</v>
      </c>
      <c r="E59" t="s">
        <v>128</v>
      </c>
      <c r="F59">
        <v>7</v>
      </c>
      <c r="G59">
        <v>8560</v>
      </c>
      <c r="H59" t="s">
        <v>97</v>
      </c>
      <c r="I59" t="s">
        <v>103</v>
      </c>
    </row>
    <row r="60" spans="1:9" x14ac:dyDescent="0.25">
      <c r="A60">
        <v>58</v>
      </c>
      <c r="B60" t="s">
        <v>118</v>
      </c>
      <c r="C60" t="s">
        <v>119</v>
      </c>
      <c r="D60" t="s">
        <v>100</v>
      </c>
      <c r="E60" t="s">
        <v>129</v>
      </c>
      <c r="F60">
        <v>8</v>
      </c>
      <c r="G60">
        <v>3570</v>
      </c>
      <c r="H60" t="s">
        <v>102</v>
      </c>
      <c r="I60" t="s">
        <v>93</v>
      </c>
    </row>
    <row r="61" spans="1:9" x14ac:dyDescent="0.25">
      <c r="A61">
        <v>59</v>
      </c>
      <c r="B61" t="s">
        <v>121</v>
      </c>
      <c r="C61" t="s">
        <v>122</v>
      </c>
      <c r="D61" t="s">
        <v>105</v>
      </c>
      <c r="E61" t="s">
        <v>130</v>
      </c>
      <c r="F61">
        <v>9</v>
      </c>
      <c r="G61">
        <v>1280</v>
      </c>
      <c r="H61" t="s">
        <v>107</v>
      </c>
      <c r="I61" t="s">
        <v>98</v>
      </c>
    </row>
    <row r="62" spans="1:9" x14ac:dyDescent="0.25">
      <c r="A62">
        <v>60</v>
      </c>
      <c r="B62" t="s">
        <v>124</v>
      </c>
      <c r="C62" t="s">
        <v>125</v>
      </c>
      <c r="D62" t="s">
        <v>109</v>
      </c>
      <c r="E62" t="s">
        <v>131</v>
      </c>
      <c r="F62">
        <v>10</v>
      </c>
      <c r="G62">
        <v>12590</v>
      </c>
      <c r="H62" t="s">
        <v>111</v>
      </c>
      <c r="I62" t="s">
        <v>103</v>
      </c>
    </row>
    <row r="63" spans="1:9" x14ac:dyDescent="0.25">
      <c r="A63">
        <v>61</v>
      </c>
      <c r="B63" t="s">
        <v>89</v>
      </c>
      <c r="C63" t="s">
        <v>22</v>
      </c>
      <c r="D63" t="s">
        <v>90</v>
      </c>
      <c r="E63" t="s">
        <v>91</v>
      </c>
      <c r="F63">
        <v>1</v>
      </c>
      <c r="G63">
        <v>30600</v>
      </c>
      <c r="H63" t="s">
        <v>92</v>
      </c>
      <c r="I63" t="s">
        <v>93</v>
      </c>
    </row>
    <row r="64" spans="1:9" x14ac:dyDescent="0.25">
      <c r="A64">
        <v>62</v>
      </c>
      <c r="B64" t="s">
        <v>94</v>
      </c>
      <c r="C64" t="s">
        <v>28</v>
      </c>
      <c r="D64" t="s">
        <v>95</v>
      </c>
      <c r="E64" t="s">
        <v>96</v>
      </c>
      <c r="F64">
        <v>2</v>
      </c>
      <c r="G64">
        <v>25610</v>
      </c>
      <c r="H64" t="s">
        <v>97</v>
      </c>
      <c r="I64" t="s">
        <v>98</v>
      </c>
    </row>
    <row r="65" spans="1:9" x14ac:dyDescent="0.25">
      <c r="A65">
        <v>63</v>
      </c>
      <c r="B65" t="s">
        <v>99</v>
      </c>
      <c r="C65" t="s">
        <v>44</v>
      </c>
      <c r="D65" t="s">
        <v>100</v>
      </c>
      <c r="E65" t="s">
        <v>101</v>
      </c>
      <c r="F65">
        <v>3</v>
      </c>
      <c r="G65">
        <v>1620</v>
      </c>
      <c r="H65" t="s">
        <v>102</v>
      </c>
      <c r="I65" t="s">
        <v>103</v>
      </c>
    </row>
    <row r="66" spans="1:9" x14ac:dyDescent="0.25">
      <c r="A66">
        <v>64</v>
      </c>
      <c r="B66" t="s">
        <v>104</v>
      </c>
      <c r="C66" t="s">
        <v>49</v>
      </c>
      <c r="D66" t="s">
        <v>105</v>
      </c>
      <c r="E66" t="s">
        <v>106</v>
      </c>
      <c r="F66">
        <v>4</v>
      </c>
      <c r="G66">
        <v>1130</v>
      </c>
      <c r="H66" t="s">
        <v>107</v>
      </c>
      <c r="I66" t="s">
        <v>93</v>
      </c>
    </row>
    <row r="67" spans="1:9" x14ac:dyDescent="0.25">
      <c r="A67">
        <v>65</v>
      </c>
      <c r="B67" t="s">
        <v>108</v>
      </c>
      <c r="C67" t="s">
        <v>36</v>
      </c>
      <c r="D67" t="s">
        <v>109</v>
      </c>
      <c r="E67" t="s">
        <v>110</v>
      </c>
      <c r="F67">
        <v>5</v>
      </c>
      <c r="G67">
        <v>8640</v>
      </c>
      <c r="H67" t="s">
        <v>111</v>
      </c>
      <c r="I67" t="s">
        <v>98</v>
      </c>
    </row>
    <row r="68" spans="1:9" x14ac:dyDescent="0.25">
      <c r="A68">
        <v>66</v>
      </c>
      <c r="B68" t="s">
        <v>112</v>
      </c>
      <c r="C68" t="s">
        <v>113</v>
      </c>
      <c r="D68" t="s">
        <v>90</v>
      </c>
      <c r="E68" t="s">
        <v>114</v>
      </c>
      <c r="F68">
        <v>6</v>
      </c>
      <c r="G68">
        <v>20650</v>
      </c>
      <c r="H68" t="s">
        <v>92</v>
      </c>
      <c r="I68" t="s">
        <v>103</v>
      </c>
    </row>
    <row r="69" spans="1:9" x14ac:dyDescent="0.25">
      <c r="A69">
        <v>67</v>
      </c>
      <c r="B69" t="s">
        <v>115</v>
      </c>
      <c r="C69" t="s">
        <v>116</v>
      </c>
      <c r="D69" t="s">
        <v>95</v>
      </c>
      <c r="E69" t="s">
        <v>117</v>
      </c>
      <c r="F69">
        <v>7</v>
      </c>
      <c r="G69">
        <v>35660</v>
      </c>
      <c r="H69" t="s">
        <v>97</v>
      </c>
      <c r="I69" t="s">
        <v>93</v>
      </c>
    </row>
    <row r="70" spans="1:9" x14ac:dyDescent="0.25">
      <c r="A70">
        <v>68</v>
      </c>
      <c r="B70" t="s">
        <v>118</v>
      </c>
      <c r="C70" t="s">
        <v>119</v>
      </c>
      <c r="D70" t="s">
        <v>100</v>
      </c>
      <c r="E70" t="s">
        <v>120</v>
      </c>
      <c r="F70">
        <v>8</v>
      </c>
      <c r="G70">
        <v>2670</v>
      </c>
      <c r="H70" t="s">
        <v>102</v>
      </c>
      <c r="I70" t="s">
        <v>98</v>
      </c>
    </row>
    <row r="71" spans="1:9" x14ac:dyDescent="0.25">
      <c r="A71">
        <v>69</v>
      </c>
      <c r="B71" t="s">
        <v>121</v>
      </c>
      <c r="C71" t="s">
        <v>122</v>
      </c>
      <c r="D71" t="s">
        <v>105</v>
      </c>
      <c r="E71" t="s">
        <v>123</v>
      </c>
      <c r="F71">
        <v>9</v>
      </c>
      <c r="G71">
        <v>2180</v>
      </c>
      <c r="H71" t="s">
        <v>107</v>
      </c>
      <c r="I71" t="s">
        <v>103</v>
      </c>
    </row>
    <row r="72" spans="1:9" x14ac:dyDescent="0.25">
      <c r="A72">
        <v>70</v>
      </c>
      <c r="B72" t="s">
        <v>124</v>
      </c>
      <c r="C72" t="s">
        <v>125</v>
      </c>
      <c r="D72" t="s">
        <v>109</v>
      </c>
      <c r="E72" t="s">
        <v>126</v>
      </c>
      <c r="F72">
        <v>10</v>
      </c>
      <c r="G72">
        <v>1690</v>
      </c>
      <c r="H72" t="s">
        <v>111</v>
      </c>
      <c r="I72" t="s">
        <v>93</v>
      </c>
    </row>
    <row r="73" spans="1:9" x14ac:dyDescent="0.25">
      <c r="A73">
        <v>71</v>
      </c>
      <c r="B73" t="s">
        <v>89</v>
      </c>
      <c r="C73" t="s">
        <v>22</v>
      </c>
      <c r="D73" t="s">
        <v>90</v>
      </c>
      <c r="E73" t="s">
        <v>127</v>
      </c>
      <c r="F73">
        <v>1</v>
      </c>
      <c r="G73">
        <v>45700</v>
      </c>
      <c r="H73" t="s">
        <v>92</v>
      </c>
      <c r="I73" t="s">
        <v>98</v>
      </c>
    </row>
    <row r="74" spans="1:9" x14ac:dyDescent="0.25">
      <c r="A74">
        <v>72</v>
      </c>
      <c r="B74" t="s">
        <v>94</v>
      </c>
      <c r="C74" t="s">
        <v>28</v>
      </c>
      <c r="D74" t="s">
        <v>95</v>
      </c>
      <c r="E74" t="s">
        <v>128</v>
      </c>
      <c r="F74">
        <v>2</v>
      </c>
      <c r="G74">
        <v>8710</v>
      </c>
      <c r="H74" t="s">
        <v>97</v>
      </c>
      <c r="I74" t="s">
        <v>103</v>
      </c>
    </row>
    <row r="75" spans="1:9" x14ac:dyDescent="0.25">
      <c r="A75">
        <v>73</v>
      </c>
      <c r="B75" t="s">
        <v>99</v>
      </c>
      <c r="C75" t="s">
        <v>44</v>
      </c>
      <c r="D75" t="s">
        <v>100</v>
      </c>
      <c r="E75" t="s">
        <v>129</v>
      </c>
      <c r="F75">
        <v>3</v>
      </c>
      <c r="G75">
        <v>3720</v>
      </c>
      <c r="H75" t="s">
        <v>102</v>
      </c>
      <c r="I75" t="s">
        <v>93</v>
      </c>
    </row>
    <row r="76" spans="1:9" x14ac:dyDescent="0.25">
      <c r="A76">
        <v>74</v>
      </c>
      <c r="B76" t="s">
        <v>104</v>
      </c>
      <c r="C76" t="s">
        <v>49</v>
      </c>
      <c r="D76" t="s">
        <v>105</v>
      </c>
      <c r="E76" t="s">
        <v>130</v>
      </c>
      <c r="F76">
        <v>4</v>
      </c>
      <c r="G76">
        <v>1430</v>
      </c>
      <c r="H76" t="s">
        <v>107</v>
      </c>
      <c r="I76" t="s">
        <v>98</v>
      </c>
    </row>
    <row r="77" spans="1:9" x14ac:dyDescent="0.25">
      <c r="A77">
        <v>75</v>
      </c>
      <c r="B77" t="s">
        <v>108</v>
      </c>
      <c r="C77" t="s">
        <v>36</v>
      </c>
      <c r="D77" t="s">
        <v>109</v>
      </c>
      <c r="E77" t="s">
        <v>131</v>
      </c>
      <c r="F77">
        <v>5</v>
      </c>
      <c r="G77">
        <v>12740</v>
      </c>
      <c r="H77" t="s">
        <v>111</v>
      </c>
      <c r="I77" t="s">
        <v>103</v>
      </c>
    </row>
    <row r="78" spans="1:9" x14ac:dyDescent="0.25">
      <c r="A78">
        <v>76</v>
      </c>
      <c r="B78" t="s">
        <v>112</v>
      </c>
      <c r="C78" t="s">
        <v>113</v>
      </c>
      <c r="D78" t="s">
        <v>90</v>
      </c>
      <c r="E78" t="s">
        <v>91</v>
      </c>
      <c r="F78">
        <v>6</v>
      </c>
      <c r="G78">
        <v>30750</v>
      </c>
      <c r="H78" t="s">
        <v>92</v>
      </c>
      <c r="I78" t="s">
        <v>93</v>
      </c>
    </row>
    <row r="79" spans="1:9" x14ac:dyDescent="0.25">
      <c r="A79">
        <v>77</v>
      </c>
      <c r="B79" t="s">
        <v>115</v>
      </c>
      <c r="C79" t="s">
        <v>116</v>
      </c>
      <c r="D79" t="s">
        <v>95</v>
      </c>
      <c r="E79" t="s">
        <v>96</v>
      </c>
      <c r="F79">
        <v>7</v>
      </c>
      <c r="G79">
        <v>25760</v>
      </c>
      <c r="H79" t="s">
        <v>97</v>
      </c>
      <c r="I79" t="s">
        <v>98</v>
      </c>
    </row>
    <row r="80" spans="1:9" x14ac:dyDescent="0.25">
      <c r="A80">
        <v>78</v>
      </c>
      <c r="B80" t="s">
        <v>118</v>
      </c>
      <c r="C80" t="s">
        <v>119</v>
      </c>
      <c r="D80" t="s">
        <v>100</v>
      </c>
      <c r="E80" t="s">
        <v>101</v>
      </c>
      <c r="F80">
        <v>8</v>
      </c>
      <c r="G80">
        <v>1770</v>
      </c>
      <c r="H80" t="s">
        <v>102</v>
      </c>
      <c r="I80" t="s">
        <v>103</v>
      </c>
    </row>
    <row r="81" spans="1:9" x14ac:dyDescent="0.25">
      <c r="A81">
        <v>79</v>
      </c>
      <c r="B81" t="s">
        <v>121</v>
      </c>
      <c r="C81" t="s">
        <v>122</v>
      </c>
      <c r="D81" t="s">
        <v>105</v>
      </c>
      <c r="E81" t="s">
        <v>106</v>
      </c>
      <c r="F81">
        <v>9</v>
      </c>
      <c r="G81">
        <v>1280</v>
      </c>
      <c r="H81" t="s">
        <v>107</v>
      </c>
      <c r="I81" t="s">
        <v>93</v>
      </c>
    </row>
    <row r="82" spans="1:9" x14ac:dyDescent="0.25">
      <c r="A82">
        <v>80</v>
      </c>
      <c r="B82" t="s">
        <v>124</v>
      </c>
      <c r="C82" t="s">
        <v>125</v>
      </c>
      <c r="D82" t="s">
        <v>109</v>
      </c>
      <c r="E82" t="s">
        <v>110</v>
      </c>
      <c r="F82">
        <v>10</v>
      </c>
      <c r="G82">
        <v>8790</v>
      </c>
      <c r="H82" t="s">
        <v>111</v>
      </c>
      <c r="I82" t="s">
        <v>98</v>
      </c>
    </row>
    <row r="83" spans="1:9" x14ac:dyDescent="0.25">
      <c r="A83">
        <v>81</v>
      </c>
      <c r="B83" t="s">
        <v>89</v>
      </c>
      <c r="C83" t="s">
        <v>22</v>
      </c>
      <c r="D83" t="s">
        <v>90</v>
      </c>
      <c r="E83" t="s">
        <v>114</v>
      </c>
      <c r="F83">
        <v>1</v>
      </c>
      <c r="G83">
        <v>20800</v>
      </c>
      <c r="H83" t="s">
        <v>92</v>
      </c>
      <c r="I83" t="s">
        <v>103</v>
      </c>
    </row>
    <row r="84" spans="1:9" x14ac:dyDescent="0.25">
      <c r="A84">
        <v>82</v>
      </c>
      <c r="B84" t="s">
        <v>94</v>
      </c>
      <c r="C84" t="s">
        <v>28</v>
      </c>
      <c r="D84" t="s">
        <v>95</v>
      </c>
      <c r="E84" t="s">
        <v>117</v>
      </c>
      <c r="F84">
        <v>2</v>
      </c>
      <c r="G84">
        <v>35810</v>
      </c>
      <c r="H84" t="s">
        <v>97</v>
      </c>
      <c r="I84" t="s">
        <v>93</v>
      </c>
    </row>
    <row r="85" spans="1:9" x14ac:dyDescent="0.25">
      <c r="A85">
        <v>83</v>
      </c>
      <c r="B85" t="s">
        <v>99</v>
      </c>
      <c r="C85" t="s">
        <v>44</v>
      </c>
      <c r="D85" t="s">
        <v>100</v>
      </c>
      <c r="E85" t="s">
        <v>120</v>
      </c>
      <c r="F85">
        <v>3</v>
      </c>
      <c r="G85">
        <v>2820</v>
      </c>
      <c r="H85" t="s">
        <v>102</v>
      </c>
      <c r="I85" t="s">
        <v>98</v>
      </c>
    </row>
    <row r="86" spans="1:9" x14ac:dyDescent="0.25">
      <c r="A86">
        <v>84</v>
      </c>
      <c r="B86" t="s">
        <v>104</v>
      </c>
      <c r="C86" t="s">
        <v>49</v>
      </c>
      <c r="D86" t="s">
        <v>105</v>
      </c>
      <c r="E86" t="s">
        <v>123</v>
      </c>
      <c r="F86">
        <v>4</v>
      </c>
      <c r="G86">
        <v>2330</v>
      </c>
      <c r="H86" t="s">
        <v>107</v>
      </c>
      <c r="I86" t="s">
        <v>103</v>
      </c>
    </row>
    <row r="87" spans="1:9" x14ac:dyDescent="0.25">
      <c r="A87">
        <v>85</v>
      </c>
      <c r="B87" t="s">
        <v>108</v>
      </c>
      <c r="C87" t="s">
        <v>36</v>
      </c>
      <c r="D87" t="s">
        <v>109</v>
      </c>
      <c r="E87" t="s">
        <v>126</v>
      </c>
      <c r="F87">
        <v>5</v>
      </c>
      <c r="G87">
        <v>1840</v>
      </c>
      <c r="H87" t="s">
        <v>111</v>
      </c>
      <c r="I87" t="s">
        <v>93</v>
      </c>
    </row>
    <row r="88" spans="1:9" x14ac:dyDescent="0.25">
      <c r="A88">
        <v>86</v>
      </c>
      <c r="B88" t="s">
        <v>112</v>
      </c>
      <c r="C88" t="s">
        <v>113</v>
      </c>
      <c r="D88" t="s">
        <v>90</v>
      </c>
      <c r="E88" t="s">
        <v>127</v>
      </c>
      <c r="F88">
        <v>6</v>
      </c>
      <c r="G88">
        <v>45850</v>
      </c>
      <c r="H88" t="s">
        <v>92</v>
      </c>
      <c r="I88" t="s">
        <v>98</v>
      </c>
    </row>
    <row r="89" spans="1:9" x14ac:dyDescent="0.25">
      <c r="A89">
        <v>87</v>
      </c>
      <c r="B89" t="s">
        <v>115</v>
      </c>
      <c r="C89" t="s">
        <v>116</v>
      </c>
      <c r="D89" t="s">
        <v>95</v>
      </c>
      <c r="E89" t="s">
        <v>128</v>
      </c>
      <c r="F89">
        <v>7</v>
      </c>
      <c r="G89">
        <v>8860</v>
      </c>
      <c r="H89" t="s">
        <v>97</v>
      </c>
      <c r="I89" t="s">
        <v>103</v>
      </c>
    </row>
    <row r="90" spans="1:9" x14ac:dyDescent="0.25">
      <c r="A90">
        <v>88</v>
      </c>
      <c r="B90" t="s">
        <v>118</v>
      </c>
      <c r="C90" t="s">
        <v>119</v>
      </c>
      <c r="D90" t="s">
        <v>100</v>
      </c>
      <c r="E90" t="s">
        <v>129</v>
      </c>
      <c r="F90">
        <v>8</v>
      </c>
      <c r="G90">
        <v>3870</v>
      </c>
      <c r="H90" t="s">
        <v>102</v>
      </c>
      <c r="I90" t="s">
        <v>93</v>
      </c>
    </row>
    <row r="91" spans="1:9" x14ac:dyDescent="0.25">
      <c r="A91">
        <v>89</v>
      </c>
      <c r="B91" t="s">
        <v>121</v>
      </c>
      <c r="C91" t="s">
        <v>122</v>
      </c>
      <c r="D91" t="s">
        <v>105</v>
      </c>
      <c r="E91" t="s">
        <v>130</v>
      </c>
      <c r="F91">
        <v>9</v>
      </c>
      <c r="G91">
        <v>1580</v>
      </c>
      <c r="H91" t="s">
        <v>107</v>
      </c>
      <c r="I91" t="s">
        <v>98</v>
      </c>
    </row>
    <row r="92" spans="1:9" x14ac:dyDescent="0.25">
      <c r="A92">
        <v>90</v>
      </c>
      <c r="B92" t="s">
        <v>124</v>
      </c>
      <c r="C92" t="s">
        <v>125</v>
      </c>
      <c r="D92" t="s">
        <v>109</v>
      </c>
      <c r="E92" t="s">
        <v>131</v>
      </c>
      <c r="F92">
        <v>10</v>
      </c>
      <c r="G92">
        <v>12890</v>
      </c>
      <c r="H92" t="s">
        <v>111</v>
      </c>
      <c r="I92" t="s">
        <v>103</v>
      </c>
    </row>
    <row r="93" spans="1:9" x14ac:dyDescent="0.25">
      <c r="A93">
        <v>91</v>
      </c>
      <c r="B93" t="s">
        <v>89</v>
      </c>
      <c r="C93" t="s">
        <v>22</v>
      </c>
      <c r="D93" t="s">
        <v>90</v>
      </c>
      <c r="E93" t="s">
        <v>91</v>
      </c>
      <c r="F93">
        <v>1</v>
      </c>
      <c r="G93">
        <v>30900</v>
      </c>
      <c r="H93" t="s">
        <v>92</v>
      </c>
      <c r="I93" t="s">
        <v>93</v>
      </c>
    </row>
    <row r="94" spans="1:9" x14ac:dyDescent="0.25">
      <c r="A94">
        <v>92</v>
      </c>
      <c r="B94" t="s">
        <v>94</v>
      </c>
      <c r="C94" t="s">
        <v>28</v>
      </c>
      <c r="D94" t="s">
        <v>95</v>
      </c>
      <c r="E94" t="s">
        <v>96</v>
      </c>
      <c r="F94">
        <v>2</v>
      </c>
      <c r="G94">
        <v>25910</v>
      </c>
      <c r="H94" t="s">
        <v>97</v>
      </c>
      <c r="I94" t="s">
        <v>98</v>
      </c>
    </row>
    <row r="95" spans="1:9" x14ac:dyDescent="0.25">
      <c r="A95">
        <v>93</v>
      </c>
      <c r="B95" t="s">
        <v>99</v>
      </c>
      <c r="C95" t="s">
        <v>44</v>
      </c>
      <c r="D95" t="s">
        <v>100</v>
      </c>
      <c r="E95" t="s">
        <v>101</v>
      </c>
      <c r="F95">
        <v>3</v>
      </c>
      <c r="G95">
        <v>1920</v>
      </c>
      <c r="H95" t="s">
        <v>102</v>
      </c>
      <c r="I95" t="s">
        <v>103</v>
      </c>
    </row>
    <row r="96" spans="1:9" x14ac:dyDescent="0.25">
      <c r="A96">
        <v>94</v>
      </c>
      <c r="B96" t="s">
        <v>104</v>
      </c>
      <c r="C96" t="s">
        <v>49</v>
      </c>
      <c r="D96" t="s">
        <v>105</v>
      </c>
      <c r="E96" t="s">
        <v>106</v>
      </c>
      <c r="F96">
        <v>4</v>
      </c>
      <c r="G96">
        <v>1430</v>
      </c>
      <c r="H96" t="s">
        <v>107</v>
      </c>
      <c r="I96" t="s">
        <v>93</v>
      </c>
    </row>
    <row r="97" spans="1:9" x14ac:dyDescent="0.25">
      <c r="A97">
        <v>95</v>
      </c>
      <c r="B97" t="s">
        <v>108</v>
      </c>
      <c r="C97" t="s">
        <v>36</v>
      </c>
      <c r="D97" t="s">
        <v>109</v>
      </c>
      <c r="E97" t="s">
        <v>110</v>
      </c>
      <c r="F97">
        <v>5</v>
      </c>
      <c r="G97">
        <v>8940</v>
      </c>
      <c r="H97" t="s">
        <v>111</v>
      </c>
      <c r="I97" t="s">
        <v>98</v>
      </c>
    </row>
    <row r="98" spans="1:9" x14ac:dyDescent="0.25">
      <c r="A98">
        <v>96</v>
      </c>
      <c r="B98" t="s">
        <v>112</v>
      </c>
      <c r="C98" t="s">
        <v>113</v>
      </c>
      <c r="D98" t="s">
        <v>90</v>
      </c>
      <c r="E98" t="s">
        <v>114</v>
      </c>
      <c r="F98">
        <v>6</v>
      </c>
      <c r="G98">
        <v>20950</v>
      </c>
      <c r="H98" t="s">
        <v>92</v>
      </c>
      <c r="I98" t="s">
        <v>103</v>
      </c>
    </row>
    <row r="99" spans="1:9" x14ac:dyDescent="0.25">
      <c r="A99">
        <v>97</v>
      </c>
      <c r="B99" t="s">
        <v>115</v>
      </c>
      <c r="C99" t="s">
        <v>116</v>
      </c>
      <c r="D99" t="s">
        <v>95</v>
      </c>
      <c r="E99" t="s">
        <v>117</v>
      </c>
      <c r="F99">
        <v>7</v>
      </c>
      <c r="G99">
        <v>35960</v>
      </c>
      <c r="H99" t="s">
        <v>97</v>
      </c>
      <c r="I99" t="s">
        <v>93</v>
      </c>
    </row>
    <row r="100" spans="1:9" x14ac:dyDescent="0.25">
      <c r="A100">
        <v>98</v>
      </c>
      <c r="B100" t="s">
        <v>118</v>
      </c>
      <c r="C100" t="s">
        <v>119</v>
      </c>
      <c r="D100" t="s">
        <v>100</v>
      </c>
      <c r="E100" t="s">
        <v>120</v>
      </c>
      <c r="F100">
        <v>8</v>
      </c>
      <c r="G100">
        <v>2970</v>
      </c>
      <c r="H100" t="s">
        <v>102</v>
      </c>
      <c r="I100" t="s">
        <v>98</v>
      </c>
    </row>
    <row r="101" spans="1:9" x14ac:dyDescent="0.25">
      <c r="A101">
        <v>99</v>
      </c>
      <c r="B101" t="s">
        <v>121</v>
      </c>
      <c r="C101" t="s">
        <v>122</v>
      </c>
      <c r="D101" t="s">
        <v>105</v>
      </c>
      <c r="E101" t="s">
        <v>123</v>
      </c>
      <c r="F101">
        <v>9</v>
      </c>
      <c r="G101">
        <v>2480</v>
      </c>
      <c r="H101" t="s">
        <v>107</v>
      </c>
      <c r="I101" t="s">
        <v>103</v>
      </c>
    </row>
    <row r="102" spans="1:9" x14ac:dyDescent="0.25">
      <c r="A102">
        <v>100</v>
      </c>
      <c r="B102" t="s">
        <v>124</v>
      </c>
      <c r="C102" t="s">
        <v>125</v>
      </c>
      <c r="D102" t="s">
        <v>109</v>
      </c>
      <c r="E102" t="s">
        <v>126</v>
      </c>
      <c r="F102">
        <v>10</v>
      </c>
      <c r="G102">
        <v>1990</v>
      </c>
      <c r="H102" t="s">
        <v>111</v>
      </c>
      <c r="I102" t="s">
        <v>93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/>
  </sheetViews>
  <sheetFormatPr defaultRowHeight="15" x14ac:dyDescent="0.25"/>
  <cols>
    <col min="1" max="1" width="26" customWidth="1"/>
    <col min="2" max="2" width="16" customWidth="1"/>
    <col min="3" max="3" width="3" customWidth="1"/>
    <col min="4" max="4" width="10" customWidth="1"/>
    <col min="5" max="5" width="20" customWidth="1"/>
    <col min="6" max="6" width="18" customWidth="1"/>
    <col min="7" max="7" width="16" customWidth="1"/>
    <col min="8" max="8" width="18" customWidth="1"/>
    <col min="9" max="9" width="10" customWidth="1"/>
    <col min="10" max="10" width="12" customWidth="1"/>
    <col min="11" max="12" width="14" customWidth="1"/>
  </cols>
  <sheetData>
    <row r="1" spans="1:12" ht="26.1" customHeight="1" x14ac:dyDescent="0.25">
      <c r="A1" s="11" t="s">
        <v>52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2" ht="21.95" customHeight="1" x14ac:dyDescent="0.25"/>
    <row r="3" spans="1:12" ht="24" customHeight="1" x14ac:dyDescent="0.25">
      <c r="A3" s="7" t="s">
        <v>53</v>
      </c>
      <c r="B3" s="7" t="s">
        <v>54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</row>
    <row r="4" spans="1:12" ht="21.95" customHeight="1" x14ac:dyDescent="0.25">
      <c r="A4" s="5" t="s">
        <v>55</v>
      </c>
      <c r="B4" s="5">
        <f>COUNTA(sales_data!A3:A11)</f>
        <v>9</v>
      </c>
      <c r="D4" s="4">
        <f>sales_data!A3</f>
        <v>1</v>
      </c>
      <c r="E4" s="5" t="str">
        <f>sales_data!B3</f>
        <v>Иванов И.</v>
      </c>
      <c r="F4" s="5" t="str">
        <f>sales_data!C3</f>
        <v>Москва</v>
      </c>
      <c r="G4" s="5" t="str">
        <f>sales_data!D3</f>
        <v>Электроника</v>
      </c>
      <c r="H4" s="5" t="str">
        <f>sales_data!E3</f>
        <v>Смартфон</v>
      </c>
      <c r="I4" s="4">
        <f>sales_data!F3</f>
        <v>1</v>
      </c>
      <c r="J4" s="6">
        <f>sales_data!G3</f>
        <v>30000</v>
      </c>
      <c r="K4" s="5" t="str">
        <f>sales_data!H3</f>
        <v>Анна С.</v>
      </c>
      <c r="L4" s="5" t="str">
        <f>sales_data!I3</f>
        <v>Интернет-магазин</v>
      </c>
    </row>
    <row r="5" spans="1:12" ht="21.95" customHeight="1" x14ac:dyDescent="0.25">
      <c r="A5" s="5" t="s">
        <v>56</v>
      </c>
      <c r="B5" s="5">
        <f>COUNTA(sales_data!A2:I2)</f>
        <v>9</v>
      </c>
      <c r="D5" s="4">
        <f>sales_data!A4</f>
        <v>2</v>
      </c>
      <c r="E5" s="5" t="str">
        <f>sales_data!B4</f>
        <v>Петров П.</v>
      </c>
      <c r="F5" s="5" t="str">
        <f>sales_data!C4</f>
        <v>Санкт-Петербург</v>
      </c>
      <c r="G5" s="5" t="str">
        <f>sales_data!D4</f>
        <v>Бытовая техника</v>
      </c>
      <c r="H5" s="5" t="str">
        <f>sales_data!E4</f>
        <v>Стиральная машина</v>
      </c>
      <c r="I5" s="4">
        <f>sales_data!F4</f>
        <v>2</v>
      </c>
      <c r="J5" s="6">
        <f>sales_data!G4</f>
        <v>25010</v>
      </c>
      <c r="K5" s="5" t="str">
        <f>sales_data!H4</f>
        <v>Ольга К.</v>
      </c>
      <c r="L5" s="5" t="str">
        <f>sales_data!I4</f>
        <v>Розница</v>
      </c>
    </row>
    <row r="6" spans="1:12" ht="21.95" customHeight="1" x14ac:dyDescent="0.25">
      <c r="A6" s="5" t="s">
        <v>57</v>
      </c>
      <c r="B6" s="5">
        <f ca="1">COUNTA(_xludf.UNIQUE(sales_data!D3:D11))</f>
        <v>1</v>
      </c>
      <c r="D6" s="4">
        <f>sales_data!A5</f>
        <v>3</v>
      </c>
      <c r="E6" s="5" t="str">
        <f>sales_data!B5</f>
        <v>Сидорова А.</v>
      </c>
      <c r="F6" s="5" t="str">
        <f>sales_data!C5</f>
        <v>Екатеринбург</v>
      </c>
      <c r="G6" s="5" t="str">
        <f>sales_data!D5</f>
        <v>Одежда</v>
      </c>
      <c r="H6" s="5" t="str">
        <f>sales_data!E5</f>
        <v>Футболка</v>
      </c>
      <c r="I6" s="4">
        <f>sales_data!F5</f>
        <v>3</v>
      </c>
      <c r="J6" s="6">
        <f>sales_data!G5</f>
        <v>1020</v>
      </c>
      <c r="K6" s="5" t="str">
        <f>sales_data!H5</f>
        <v>Сергей В.</v>
      </c>
      <c r="L6" s="5" t="str">
        <f>sales_data!I5</f>
        <v>Опт</v>
      </c>
    </row>
    <row r="7" spans="1:12" ht="21.95" customHeight="1" x14ac:dyDescent="0.25">
      <c r="A7" s="5" t="s">
        <v>58</v>
      </c>
      <c r="B7" s="5" t="str">
        <f>IF(COUNTIF(sales_data!I3:I11,"Онлайн")&gt;0,"Да","Нет")</f>
        <v>Нет</v>
      </c>
      <c r="D7" s="4">
        <f>sales_data!A6</f>
        <v>4</v>
      </c>
      <c r="E7" s="5" t="str">
        <f>sales_data!B6</f>
        <v>Кузнецова М.</v>
      </c>
      <c r="F7" s="5" t="str">
        <f>sales_data!C6</f>
        <v>Новосибирск</v>
      </c>
      <c r="G7" s="5" t="str">
        <f>sales_data!D6</f>
        <v>Книги</v>
      </c>
      <c r="H7" s="5" t="str">
        <f>sales_data!E6</f>
        <v>Роман</v>
      </c>
      <c r="I7" s="4">
        <f>sales_data!F6</f>
        <v>4</v>
      </c>
      <c r="J7" s="6">
        <f>sales_data!G6</f>
        <v>530</v>
      </c>
      <c r="K7" s="5" t="str">
        <f>sales_data!H6</f>
        <v>Дмитрий П.</v>
      </c>
      <c r="L7" s="5" t="str">
        <f>sales_data!I6</f>
        <v>Интернет-магазин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"/>
  <sheetViews>
    <sheetView workbookViewId="0"/>
  </sheetViews>
  <sheetFormatPr defaultRowHeight="15" x14ac:dyDescent="0.25"/>
  <cols>
    <col min="1" max="1" width="10" customWidth="1"/>
    <col min="2" max="2" width="18" customWidth="1"/>
    <col min="3" max="3" width="17" customWidth="1"/>
    <col min="4" max="4" width="14" customWidth="1"/>
    <col min="5" max="5" width="18" customWidth="1"/>
    <col min="6" max="6" width="10" customWidth="1"/>
    <col min="7" max="7" width="11" customWidth="1"/>
    <col min="8" max="8" width="12" customWidth="1"/>
    <col min="9" max="10" width="14" customWidth="1"/>
    <col min="11" max="11" width="3" customWidth="1"/>
    <col min="12" max="12" width="12" customWidth="1"/>
    <col min="13" max="13" width="18" customWidth="1"/>
    <col min="14" max="14" width="17" customWidth="1"/>
    <col min="15" max="15" width="14" customWidth="1"/>
    <col min="16" max="16" width="18" customWidth="1"/>
    <col min="17" max="17" width="10" customWidth="1"/>
    <col min="18" max="18" width="11" customWidth="1"/>
    <col min="19" max="19" width="12" customWidth="1"/>
    <col min="20" max="20" width="14" customWidth="1"/>
  </cols>
  <sheetData>
    <row r="1" spans="1:20" ht="26.1" customHeight="1" x14ac:dyDescent="0.25">
      <c r="A1" s="11" t="s">
        <v>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1:20" ht="21.95" customHeight="1" x14ac:dyDescent="0.25"/>
    <row r="3" spans="1:20" ht="24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60</v>
      </c>
      <c r="L3" s="9" t="s">
        <v>61</v>
      </c>
    </row>
    <row r="4" spans="1:20" ht="21.95" customHeight="1" x14ac:dyDescent="0.25">
      <c r="A4" s="4">
        <v>201</v>
      </c>
      <c r="B4" s="5" t="s">
        <v>21</v>
      </c>
      <c r="C4" s="5" t="s">
        <v>22</v>
      </c>
      <c r="D4" s="5" t="s">
        <v>23</v>
      </c>
      <c r="E4" s="5" t="s">
        <v>24</v>
      </c>
      <c r="F4" s="4">
        <v>2</v>
      </c>
      <c r="G4" s="6">
        <v>55000</v>
      </c>
      <c r="H4" s="5" t="s">
        <v>25</v>
      </c>
      <c r="I4" s="5" t="s">
        <v>26</v>
      </c>
      <c r="J4" s="4" t="str">
        <f t="shared" ref="J4:J12" si="0">IF(D4="Ноутбуки","Да","Нет")</f>
        <v>Да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</row>
    <row r="5" spans="1:20" ht="21.95" customHeight="1" x14ac:dyDescent="0.25">
      <c r="A5" s="4">
        <v>202</v>
      </c>
      <c r="B5" s="5" t="s">
        <v>27</v>
      </c>
      <c r="C5" s="5" t="s">
        <v>28</v>
      </c>
      <c r="D5" s="5" t="s">
        <v>29</v>
      </c>
      <c r="E5" s="5" t="s">
        <v>30</v>
      </c>
      <c r="F5" s="4">
        <v>1</v>
      </c>
      <c r="G5" s="6">
        <v>23000</v>
      </c>
      <c r="H5" s="5" t="s">
        <v>31</v>
      </c>
      <c r="I5" s="5" t="s">
        <v>32</v>
      </c>
      <c r="J5" s="4" t="str">
        <f t="shared" si="0"/>
        <v>Нет</v>
      </c>
      <c r="L5" s="4">
        <f>sales_data!A3</f>
        <v>1</v>
      </c>
      <c r="M5" s="5" t="str">
        <f>sales_data!B3</f>
        <v>Иванов И.</v>
      </c>
      <c r="N5" s="5" t="str">
        <f>sales_data!C3</f>
        <v>Москва</v>
      </c>
      <c r="O5" s="5" t="str">
        <f>sales_data!D3</f>
        <v>Электроника</v>
      </c>
      <c r="P5" s="5" t="str">
        <f>sales_data!E3</f>
        <v>Смартфон</v>
      </c>
      <c r="Q5" s="4">
        <f>sales_data!F3</f>
        <v>1</v>
      </c>
      <c r="R5" s="6">
        <f>sales_data!G3</f>
        <v>30000</v>
      </c>
      <c r="S5" s="5" t="str">
        <f>sales_data!H3</f>
        <v>Анна С.</v>
      </c>
      <c r="T5" s="5" t="str">
        <f>sales_data!I3</f>
        <v>Интернет-магазин</v>
      </c>
    </row>
    <row r="6" spans="1:20" ht="21.95" customHeight="1" x14ac:dyDescent="0.25">
      <c r="A6" s="4">
        <v>203</v>
      </c>
      <c r="B6" s="5" t="s">
        <v>33</v>
      </c>
      <c r="C6" s="5" t="s">
        <v>22</v>
      </c>
      <c r="D6" s="5" t="s">
        <v>23</v>
      </c>
      <c r="E6" s="5" t="s">
        <v>34</v>
      </c>
      <c r="F6" s="4">
        <v>3</v>
      </c>
      <c r="G6" s="6">
        <v>72000</v>
      </c>
      <c r="H6" s="5" t="s">
        <v>25</v>
      </c>
      <c r="I6" s="5" t="s">
        <v>26</v>
      </c>
      <c r="J6" s="4" t="str">
        <f t="shared" si="0"/>
        <v>Да</v>
      </c>
      <c r="L6" s="4">
        <f>sales_data!A5</f>
        <v>3</v>
      </c>
      <c r="M6" s="5" t="str">
        <f>sales_data!B5</f>
        <v>Сидорова А.</v>
      </c>
      <c r="N6" s="5" t="str">
        <f>sales_data!C5</f>
        <v>Екатеринбург</v>
      </c>
      <c r="O6" s="5" t="str">
        <f>sales_data!D5</f>
        <v>Одежда</v>
      </c>
      <c r="P6" s="5" t="str">
        <f>sales_data!E5</f>
        <v>Футболка</v>
      </c>
      <c r="Q6" s="4">
        <f>sales_data!F5</f>
        <v>3</v>
      </c>
      <c r="R6" s="6">
        <f>sales_data!G5</f>
        <v>1020</v>
      </c>
      <c r="S6" s="5" t="str">
        <f>sales_data!H5</f>
        <v>Сергей В.</v>
      </c>
      <c r="T6" s="5" t="str">
        <f>sales_data!I5</f>
        <v>Опт</v>
      </c>
    </row>
    <row r="7" spans="1:20" ht="21.95" customHeight="1" x14ac:dyDescent="0.25">
      <c r="A7" s="4">
        <v>204</v>
      </c>
      <c r="B7" s="5" t="s">
        <v>35</v>
      </c>
      <c r="C7" s="5" t="s">
        <v>36</v>
      </c>
      <c r="D7" s="5" t="s">
        <v>37</v>
      </c>
      <c r="E7" s="5" t="s">
        <v>38</v>
      </c>
      <c r="F7" s="4">
        <v>5</v>
      </c>
      <c r="G7" s="6">
        <v>2500</v>
      </c>
      <c r="H7" s="5" t="s">
        <v>39</v>
      </c>
      <c r="I7" s="5" t="s">
        <v>40</v>
      </c>
      <c r="J7" s="4" t="str">
        <f t="shared" si="0"/>
        <v>Нет</v>
      </c>
      <c r="L7" s="4">
        <f>sales_data!A8</f>
        <v>6</v>
      </c>
      <c r="M7" s="5" t="str">
        <f>sales_data!B8</f>
        <v>Попова Е.</v>
      </c>
      <c r="N7" s="5" t="str">
        <f>sales_data!C8</f>
        <v>Нижний Новгород</v>
      </c>
      <c r="O7" s="5" t="str">
        <f>sales_data!D8</f>
        <v>Электроника</v>
      </c>
      <c r="P7" s="5" t="str">
        <f>sales_data!E8</f>
        <v>Планшет</v>
      </c>
      <c r="Q7" s="4">
        <f>sales_data!F8</f>
        <v>6</v>
      </c>
      <c r="R7" s="6">
        <f>sales_data!G8</f>
        <v>20050</v>
      </c>
      <c r="S7" s="5" t="str">
        <f>sales_data!H8</f>
        <v>Анна С.</v>
      </c>
      <c r="T7" s="5" t="str">
        <f>sales_data!I8</f>
        <v>Опт</v>
      </c>
    </row>
    <row r="8" spans="1:20" ht="21.95" customHeight="1" x14ac:dyDescent="0.25">
      <c r="A8" s="4">
        <v>205</v>
      </c>
      <c r="B8" s="5" t="s">
        <v>41</v>
      </c>
      <c r="C8" s="5" t="s">
        <v>22</v>
      </c>
      <c r="D8" s="5" t="s">
        <v>29</v>
      </c>
      <c r="E8" s="5" t="s">
        <v>42</v>
      </c>
      <c r="F8" s="4">
        <v>2</v>
      </c>
      <c r="G8" s="6">
        <v>18000</v>
      </c>
      <c r="H8" s="5" t="s">
        <v>25</v>
      </c>
      <c r="I8" s="5" t="s">
        <v>26</v>
      </c>
      <c r="J8" s="4" t="str">
        <f t="shared" si="0"/>
        <v>Нет</v>
      </c>
      <c r="L8" s="4">
        <f>sales_data!A10</f>
        <v>8</v>
      </c>
      <c r="M8" s="5" t="str">
        <f>sales_data!B10</f>
        <v>Михайлова О.</v>
      </c>
      <c r="N8" s="5" t="str">
        <f>sales_data!C10</f>
        <v>Омск</v>
      </c>
      <c r="O8" s="5" t="str">
        <f>sales_data!D10</f>
        <v>Одежда</v>
      </c>
      <c r="P8" s="5" t="str">
        <f>sales_data!E10</f>
        <v>Джинсы</v>
      </c>
      <c r="Q8" s="4">
        <f>sales_data!F10</f>
        <v>8</v>
      </c>
      <c r="R8" s="6">
        <f>sales_data!G10</f>
        <v>2070</v>
      </c>
      <c r="S8" s="5" t="str">
        <f>sales_data!H10</f>
        <v>Сергей В.</v>
      </c>
      <c r="T8" s="5" t="str">
        <f>sales_data!I10</f>
        <v>Розница</v>
      </c>
    </row>
    <row r="9" spans="1:20" ht="21.95" customHeight="1" x14ac:dyDescent="0.25">
      <c r="A9" s="4">
        <v>206</v>
      </c>
      <c r="B9" s="5" t="s">
        <v>43</v>
      </c>
      <c r="C9" s="5" t="s">
        <v>44</v>
      </c>
      <c r="D9" s="5" t="s">
        <v>23</v>
      </c>
      <c r="E9" s="5" t="s">
        <v>45</v>
      </c>
      <c r="F9" s="4">
        <v>1</v>
      </c>
      <c r="G9" s="6">
        <v>49000</v>
      </c>
      <c r="H9" s="5" t="s">
        <v>31</v>
      </c>
      <c r="I9" s="5" t="s">
        <v>32</v>
      </c>
      <c r="J9" s="4" t="str">
        <f t="shared" si="0"/>
        <v>Да</v>
      </c>
      <c r="L9" s="4">
        <f>sales_data!A11</f>
        <v>9</v>
      </c>
      <c r="M9" s="5" t="str">
        <f>sales_data!B11</f>
        <v>Новиков А.</v>
      </c>
      <c r="N9" s="5" t="str">
        <f>sales_data!C11</f>
        <v>Ростов-на-Дону</v>
      </c>
      <c r="O9" s="5" t="str">
        <f>sales_data!D11</f>
        <v>Книги</v>
      </c>
      <c r="P9" s="5" t="str">
        <f>sales_data!E11</f>
        <v>Энциклопедия</v>
      </c>
      <c r="Q9" s="4">
        <f>sales_data!F11</f>
        <v>9</v>
      </c>
      <c r="R9" s="6">
        <f>sales_data!G11</f>
        <v>1580</v>
      </c>
      <c r="S9" s="5" t="str">
        <f>sales_data!H11</f>
        <v>Дмитрий П.</v>
      </c>
      <c r="T9" s="5" t="str">
        <f>sales_data!I11</f>
        <v>Опт</v>
      </c>
    </row>
    <row r="10" spans="1:20" ht="21.95" customHeight="1" x14ac:dyDescent="0.25">
      <c r="A10" s="4">
        <v>207</v>
      </c>
      <c r="B10" s="5" t="s">
        <v>46</v>
      </c>
      <c r="C10" s="5" t="s">
        <v>22</v>
      </c>
      <c r="D10" s="5" t="s">
        <v>37</v>
      </c>
      <c r="E10" s="5" t="s">
        <v>47</v>
      </c>
      <c r="F10" s="4">
        <v>4</v>
      </c>
      <c r="G10" s="6">
        <v>4000</v>
      </c>
      <c r="H10" s="5" t="s">
        <v>39</v>
      </c>
      <c r="I10" s="5" t="s">
        <v>26</v>
      </c>
      <c r="J10" s="4" t="str">
        <f t="shared" si="0"/>
        <v>Нет</v>
      </c>
    </row>
    <row r="11" spans="1:20" ht="21.95" customHeight="1" x14ac:dyDescent="0.25">
      <c r="A11" s="4">
        <v>208</v>
      </c>
      <c r="B11" s="5" t="s">
        <v>48</v>
      </c>
      <c r="C11" s="5" t="s">
        <v>49</v>
      </c>
      <c r="D11" s="5" t="s">
        <v>23</v>
      </c>
      <c r="E11" s="5" t="s">
        <v>24</v>
      </c>
      <c r="F11" s="4">
        <v>2</v>
      </c>
      <c r="G11" s="6">
        <v>55000</v>
      </c>
      <c r="H11" s="5" t="s">
        <v>25</v>
      </c>
      <c r="I11" s="5" t="s">
        <v>40</v>
      </c>
      <c r="J11" s="4" t="str">
        <f t="shared" si="0"/>
        <v>Да</v>
      </c>
      <c r="L11" s="9" t="s">
        <v>62</v>
      </c>
      <c r="M11" s="4">
        <f>COUNTIF(J4:J12,"Да")</f>
        <v>5</v>
      </c>
    </row>
    <row r="12" spans="1:20" ht="21.95" customHeight="1" x14ac:dyDescent="0.25">
      <c r="A12" s="4">
        <v>209</v>
      </c>
      <c r="B12" s="5" t="s">
        <v>50</v>
      </c>
      <c r="C12" s="5" t="s">
        <v>22</v>
      </c>
      <c r="D12" s="5" t="s">
        <v>23</v>
      </c>
      <c r="E12" s="5" t="s">
        <v>51</v>
      </c>
      <c r="F12" s="4">
        <v>1</v>
      </c>
      <c r="G12" s="6">
        <v>43000</v>
      </c>
      <c r="H12" s="5" t="s">
        <v>31</v>
      </c>
      <c r="I12" s="5" t="s">
        <v>32</v>
      </c>
      <c r="J12" s="4" t="str">
        <f t="shared" si="0"/>
        <v>Да</v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workbookViewId="0"/>
  </sheetViews>
  <sheetFormatPr defaultRowHeight="15" x14ac:dyDescent="0.25"/>
  <cols>
    <col min="1" max="1" width="10" customWidth="1"/>
    <col min="2" max="2" width="18" customWidth="1"/>
    <col min="3" max="3" width="17" customWidth="1"/>
    <col min="4" max="4" width="14" customWidth="1"/>
    <col min="5" max="5" width="18" customWidth="1"/>
    <col min="6" max="6" width="10" customWidth="1"/>
    <col min="7" max="7" width="11" customWidth="1"/>
    <col min="8" max="8" width="12" customWidth="1"/>
    <col min="9" max="9" width="14" customWidth="1"/>
    <col min="10" max="10" width="18" customWidth="1"/>
    <col min="11" max="11" width="3" customWidth="1"/>
    <col min="12" max="12" width="12" customWidth="1"/>
    <col min="13" max="13" width="18" customWidth="1"/>
    <col min="14" max="14" width="17" customWidth="1"/>
    <col min="15" max="15" width="14" customWidth="1"/>
    <col min="16" max="16" width="18" customWidth="1"/>
    <col min="17" max="17" width="10" customWidth="1"/>
    <col min="18" max="18" width="11" customWidth="1"/>
    <col min="19" max="19" width="12" customWidth="1"/>
    <col min="20" max="20" width="14" customWidth="1"/>
  </cols>
  <sheetData>
    <row r="1" spans="1:20" ht="26.1" customHeight="1" x14ac:dyDescent="0.25">
      <c r="A1" s="11" t="s">
        <v>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1:20" ht="21.95" customHeight="1" x14ac:dyDescent="0.25"/>
    <row r="3" spans="1:20" ht="24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64</v>
      </c>
      <c r="L3" s="9" t="s">
        <v>61</v>
      </c>
    </row>
    <row r="4" spans="1:20" ht="21.95" customHeight="1" x14ac:dyDescent="0.25">
      <c r="A4" s="4">
        <v>201</v>
      </c>
      <c r="B4" s="5" t="s">
        <v>21</v>
      </c>
      <c r="C4" s="5" t="s">
        <v>22</v>
      </c>
      <c r="D4" s="5" t="s">
        <v>23</v>
      </c>
      <c r="E4" s="5" t="s">
        <v>24</v>
      </c>
      <c r="F4" s="4">
        <v>2</v>
      </c>
      <c r="G4" s="6">
        <v>55000</v>
      </c>
      <c r="H4" s="5" t="s">
        <v>25</v>
      </c>
      <c r="I4" s="5" t="s">
        <v>26</v>
      </c>
      <c r="J4" s="4" t="str">
        <f t="shared" ref="J4:J12" si="0">IF(AND(C4="Москва",I4="Онлайн"),"Да","Нет")</f>
        <v>Да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</row>
    <row r="5" spans="1:20" ht="21.95" customHeight="1" x14ac:dyDescent="0.25">
      <c r="A5" s="4">
        <v>202</v>
      </c>
      <c r="B5" s="5" t="s">
        <v>27</v>
      </c>
      <c r="C5" s="5" t="s">
        <v>28</v>
      </c>
      <c r="D5" s="5" t="s">
        <v>29</v>
      </c>
      <c r="E5" s="5" t="s">
        <v>30</v>
      </c>
      <c r="F5" s="4">
        <v>1</v>
      </c>
      <c r="G5" s="6">
        <v>23000</v>
      </c>
      <c r="H5" s="5" t="s">
        <v>31</v>
      </c>
      <c r="I5" s="5" t="s">
        <v>32</v>
      </c>
      <c r="J5" s="4" t="str">
        <f t="shared" si="0"/>
        <v>Нет</v>
      </c>
      <c r="L5" s="4">
        <f>sales_data!A3</f>
        <v>1</v>
      </c>
      <c r="M5" s="5" t="str">
        <f>sales_data!B3</f>
        <v>Иванов И.</v>
      </c>
      <c r="N5" s="5" t="str">
        <f>sales_data!C3</f>
        <v>Москва</v>
      </c>
      <c r="O5" s="5" t="str">
        <f>sales_data!D3</f>
        <v>Электроника</v>
      </c>
      <c r="P5" s="5" t="str">
        <f>sales_data!E3</f>
        <v>Смартфон</v>
      </c>
      <c r="Q5" s="4">
        <f>sales_data!F3</f>
        <v>1</v>
      </c>
      <c r="R5" s="6">
        <f>sales_data!G3</f>
        <v>30000</v>
      </c>
      <c r="S5" s="5" t="str">
        <f>sales_data!H3</f>
        <v>Анна С.</v>
      </c>
      <c r="T5" s="5" t="str">
        <f>sales_data!I3</f>
        <v>Интернет-магазин</v>
      </c>
    </row>
    <row r="6" spans="1:20" ht="21.95" customHeight="1" x14ac:dyDescent="0.25">
      <c r="A6" s="4">
        <v>203</v>
      </c>
      <c r="B6" s="5" t="s">
        <v>33</v>
      </c>
      <c r="C6" s="5" t="s">
        <v>22</v>
      </c>
      <c r="D6" s="5" t="s">
        <v>23</v>
      </c>
      <c r="E6" s="5" t="s">
        <v>34</v>
      </c>
      <c r="F6" s="4">
        <v>3</v>
      </c>
      <c r="G6" s="6">
        <v>72000</v>
      </c>
      <c r="H6" s="5" t="s">
        <v>25</v>
      </c>
      <c r="I6" s="5" t="s">
        <v>26</v>
      </c>
      <c r="J6" s="4" t="str">
        <f t="shared" si="0"/>
        <v>Да</v>
      </c>
      <c r="L6" s="4">
        <f>sales_data!A5</f>
        <v>3</v>
      </c>
      <c r="M6" s="5" t="str">
        <f>sales_data!B5</f>
        <v>Сидорова А.</v>
      </c>
      <c r="N6" s="5" t="str">
        <f>sales_data!C5</f>
        <v>Екатеринбург</v>
      </c>
      <c r="O6" s="5" t="str">
        <f>sales_data!D5</f>
        <v>Одежда</v>
      </c>
      <c r="P6" s="5" t="str">
        <f>sales_data!E5</f>
        <v>Футболка</v>
      </c>
      <c r="Q6" s="4">
        <f>sales_data!F5</f>
        <v>3</v>
      </c>
      <c r="R6" s="6">
        <f>sales_data!G5</f>
        <v>1020</v>
      </c>
      <c r="S6" s="5" t="str">
        <f>sales_data!H5</f>
        <v>Сергей В.</v>
      </c>
      <c r="T6" s="5" t="str">
        <f>sales_data!I5</f>
        <v>Опт</v>
      </c>
    </row>
    <row r="7" spans="1:20" ht="21.95" customHeight="1" x14ac:dyDescent="0.25">
      <c r="A7" s="4">
        <v>204</v>
      </c>
      <c r="B7" s="5" t="s">
        <v>35</v>
      </c>
      <c r="C7" s="5" t="s">
        <v>36</v>
      </c>
      <c r="D7" s="5" t="s">
        <v>37</v>
      </c>
      <c r="E7" s="5" t="s">
        <v>38</v>
      </c>
      <c r="F7" s="4">
        <v>5</v>
      </c>
      <c r="G7" s="6">
        <v>2500</v>
      </c>
      <c r="H7" s="5" t="s">
        <v>39</v>
      </c>
      <c r="I7" s="5" t="s">
        <v>40</v>
      </c>
      <c r="J7" s="4" t="str">
        <f t="shared" si="0"/>
        <v>Нет</v>
      </c>
      <c r="L7" s="4">
        <f>sales_data!A7</f>
        <v>5</v>
      </c>
      <c r="M7" s="5" t="str">
        <f>sales_data!B7</f>
        <v>Смирнов Д.</v>
      </c>
      <c r="N7" s="5" t="str">
        <f>sales_data!C7</f>
        <v>Казань</v>
      </c>
      <c r="O7" s="5" t="str">
        <f>sales_data!D7</f>
        <v>Спорттовары</v>
      </c>
      <c r="P7" s="5" t="str">
        <f>sales_data!E7</f>
        <v>Тренажер</v>
      </c>
      <c r="Q7" s="4">
        <f>sales_data!F7</f>
        <v>5</v>
      </c>
      <c r="R7" s="6">
        <f>sales_data!G7</f>
        <v>8040</v>
      </c>
      <c r="S7" s="5" t="str">
        <f>sales_data!H7</f>
        <v>Екатерина Н.</v>
      </c>
      <c r="T7" s="5" t="str">
        <f>sales_data!I7</f>
        <v>Розница</v>
      </c>
    </row>
    <row r="8" spans="1:20" ht="21.95" customHeight="1" x14ac:dyDescent="0.25">
      <c r="A8" s="4">
        <v>205</v>
      </c>
      <c r="B8" s="5" t="s">
        <v>41</v>
      </c>
      <c r="C8" s="5" t="s">
        <v>22</v>
      </c>
      <c r="D8" s="5" t="s">
        <v>29</v>
      </c>
      <c r="E8" s="5" t="s">
        <v>42</v>
      </c>
      <c r="F8" s="4">
        <v>2</v>
      </c>
      <c r="G8" s="6">
        <v>18000</v>
      </c>
      <c r="H8" s="5" t="s">
        <v>25</v>
      </c>
      <c r="I8" s="5" t="s">
        <v>26</v>
      </c>
      <c r="J8" s="4" t="str">
        <f t="shared" si="0"/>
        <v>Да</v>
      </c>
      <c r="L8" s="4">
        <f>sales_data!A9</f>
        <v>7</v>
      </c>
      <c r="M8" s="5" t="str">
        <f>sales_data!B9</f>
        <v>Васильев С.</v>
      </c>
      <c r="N8" s="5" t="str">
        <f>sales_data!C9</f>
        <v>Челябинск</v>
      </c>
      <c r="O8" s="5" t="str">
        <f>sales_data!D9</f>
        <v>Бытовая техника</v>
      </c>
      <c r="P8" s="5" t="str">
        <f>sales_data!E9</f>
        <v>Холодильник</v>
      </c>
      <c r="Q8" s="4">
        <f>sales_data!F9</f>
        <v>7</v>
      </c>
      <c r="R8" s="6">
        <f>sales_data!G9</f>
        <v>35060</v>
      </c>
      <c r="S8" s="5" t="str">
        <f>sales_data!H9</f>
        <v>Ольга К.</v>
      </c>
      <c r="T8" s="5" t="str">
        <f>sales_data!I9</f>
        <v>Интернет-магазин</v>
      </c>
    </row>
    <row r="9" spans="1:20" ht="21.95" customHeight="1" x14ac:dyDescent="0.25">
      <c r="A9" s="4">
        <v>206</v>
      </c>
      <c r="B9" s="5" t="s">
        <v>43</v>
      </c>
      <c r="C9" s="5" t="s">
        <v>44</v>
      </c>
      <c r="D9" s="5" t="s">
        <v>23</v>
      </c>
      <c r="E9" s="5" t="s">
        <v>45</v>
      </c>
      <c r="F9" s="4">
        <v>1</v>
      </c>
      <c r="G9" s="6">
        <v>49000</v>
      </c>
      <c r="H9" s="5" t="s">
        <v>31</v>
      </c>
      <c r="I9" s="5" t="s">
        <v>32</v>
      </c>
      <c r="J9" s="4" t="str">
        <f t="shared" si="0"/>
        <v>Нет</v>
      </c>
    </row>
    <row r="10" spans="1:20" ht="21.95" customHeight="1" x14ac:dyDescent="0.25">
      <c r="A10" s="4">
        <v>207</v>
      </c>
      <c r="B10" s="5" t="s">
        <v>46</v>
      </c>
      <c r="C10" s="5" t="s">
        <v>22</v>
      </c>
      <c r="D10" s="5" t="s">
        <v>37</v>
      </c>
      <c r="E10" s="5" t="s">
        <v>47</v>
      </c>
      <c r="F10" s="4">
        <v>4</v>
      </c>
      <c r="G10" s="6">
        <v>4000</v>
      </c>
      <c r="H10" s="5" t="s">
        <v>39</v>
      </c>
      <c r="I10" s="5" t="s">
        <v>26</v>
      </c>
      <c r="J10" s="4" t="str">
        <f t="shared" si="0"/>
        <v>Да</v>
      </c>
      <c r="L10" s="9" t="s">
        <v>62</v>
      </c>
      <c r="M10" s="4">
        <f>COUNTIF(J4:J12,"Да")</f>
        <v>4</v>
      </c>
    </row>
    <row r="11" spans="1:20" ht="21.95" customHeight="1" x14ac:dyDescent="0.25">
      <c r="A11" s="4">
        <v>208</v>
      </c>
      <c r="B11" s="5" t="s">
        <v>48</v>
      </c>
      <c r="C11" s="5" t="s">
        <v>49</v>
      </c>
      <c r="D11" s="5" t="s">
        <v>23</v>
      </c>
      <c r="E11" s="5" t="s">
        <v>24</v>
      </c>
      <c r="F11" s="4">
        <v>2</v>
      </c>
      <c r="G11" s="6">
        <v>55000</v>
      </c>
      <c r="H11" s="5" t="s">
        <v>25</v>
      </c>
      <c r="I11" s="5" t="s">
        <v>40</v>
      </c>
      <c r="J11" s="4" t="str">
        <f t="shared" si="0"/>
        <v>Нет</v>
      </c>
    </row>
    <row r="12" spans="1:20" ht="21.95" customHeight="1" x14ac:dyDescent="0.25">
      <c r="A12" s="4">
        <v>209</v>
      </c>
      <c r="B12" s="5" t="s">
        <v>50</v>
      </c>
      <c r="C12" s="5" t="s">
        <v>22</v>
      </c>
      <c r="D12" s="5" t="s">
        <v>23</v>
      </c>
      <c r="E12" s="5" t="s">
        <v>51</v>
      </c>
      <c r="F12" s="4">
        <v>1</v>
      </c>
      <c r="G12" s="6">
        <v>43000</v>
      </c>
      <c r="H12" s="5" t="s">
        <v>31</v>
      </c>
      <c r="I12" s="5" t="s">
        <v>32</v>
      </c>
      <c r="J12" s="4" t="str">
        <f t="shared" si="0"/>
        <v>Нет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5"/>
  <sheetViews>
    <sheetView workbookViewId="0"/>
  </sheetViews>
  <sheetFormatPr defaultRowHeight="15" x14ac:dyDescent="0.25"/>
  <cols>
    <col min="1" max="1" width="10" customWidth="1"/>
    <col min="2" max="2" width="18" customWidth="1"/>
    <col min="3" max="3" width="17" customWidth="1"/>
    <col min="4" max="4" width="14" customWidth="1"/>
    <col min="5" max="5" width="18" customWidth="1"/>
    <col min="6" max="6" width="10" customWidth="1"/>
    <col min="7" max="7" width="11" customWidth="1"/>
    <col min="8" max="8" width="12" customWidth="1"/>
    <col min="9" max="9" width="14" customWidth="1"/>
    <col min="10" max="10" width="11" customWidth="1"/>
    <col min="11" max="11" width="3" customWidth="1"/>
    <col min="12" max="12" width="12" customWidth="1"/>
    <col min="13" max="13" width="18" customWidth="1"/>
    <col min="14" max="14" width="17" customWidth="1"/>
    <col min="15" max="15" width="14" customWidth="1"/>
    <col min="16" max="16" width="18" customWidth="1"/>
    <col min="17" max="17" width="10" customWidth="1"/>
    <col min="18" max="18" width="11" customWidth="1"/>
    <col min="19" max="19" width="12" customWidth="1"/>
    <col min="20" max="20" width="14" customWidth="1"/>
  </cols>
  <sheetData>
    <row r="1" spans="1:20" ht="26.1" customHeight="1" x14ac:dyDescent="0.25">
      <c r="A1" s="11" t="s">
        <v>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20" ht="21.95" customHeight="1" x14ac:dyDescent="0.25"/>
    <row r="3" spans="1:20" ht="24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66</v>
      </c>
      <c r="L3" s="9" t="s">
        <v>67</v>
      </c>
    </row>
    <row r="4" spans="1:20" ht="21.95" customHeight="1" x14ac:dyDescent="0.25">
      <c r="A4" s="4">
        <v>201</v>
      </c>
      <c r="B4" s="5" t="s">
        <v>21</v>
      </c>
      <c r="C4" s="5" t="s">
        <v>22</v>
      </c>
      <c r="D4" s="5" t="s">
        <v>23</v>
      </c>
      <c r="E4" s="5" t="s">
        <v>24</v>
      </c>
      <c r="F4" s="4">
        <v>2</v>
      </c>
      <c r="G4" s="6">
        <v>55000</v>
      </c>
      <c r="H4" s="5" t="s">
        <v>25</v>
      </c>
      <c r="I4" s="5" t="s">
        <v>26</v>
      </c>
      <c r="J4" s="4">
        <f>RANK(G4,$G$4:$G$12,0)+COUNTIF($G$4:G4,G4)-1</f>
        <v>2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</row>
    <row r="5" spans="1:20" ht="21.95" customHeight="1" x14ac:dyDescent="0.25">
      <c r="A5" s="4">
        <v>202</v>
      </c>
      <c r="B5" s="5" t="s">
        <v>27</v>
      </c>
      <c r="C5" s="5" t="s">
        <v>28</v>
      </c>
      <c r="D5" s="5" t="s">
        <v>29</v>
      </c>
      <c r="E5" s="5" t="s">
        <v>30</v>
      </c>
      <c r="F5" s="4">
        <v>1</v>
      </c>
      <c r="G5" s="6">
        <v>23000</v>
      </c>
      <c r="H5" s="5" t="s">
        <v>31</v>
      </c>
      <c r="I5" s="5" t="s">
        <v>32</v>
      </c>
      <c r="J5" s="4">
        <f>RANK(G5,$G$4:$G$12,0)+COUNTIF($G$4:G5,G5)-1</f>
        <v>6</v>
      </c>
      <c r="L5" s="4">
        <f>sales_data!A5</f>
        <v>3</v>
      </c>
      <c r="M5" s="5" t="str">
        <f>sales_data!B5</f>
        <v>Сидорова А.</v>
      </c>
      <c r="N5" s="5" t="str">
        <f>sales_data!C5</f>
        <v>Екатеринбург</v>
      </c>
      <c r="O5" s="5" t="str">
        <f>sales_data!D5</f>
        <v>Одежда</v>
      </c>
      <c r="P5" s="5" t="str">
        <f>sales_data!E5</f>
        <v>Футболка</v>
      </c>
      <c r="Q5" s="4">
        <f>sales_data!F5</f>
        <v>3</v>
      </c>
      <c r="R5" s="6">
        <f>sales_data!G5</f>
        <v>1020</v>
      </c>
      <c r="S5" s="5" t="str">
        <f>sales_data!H5</f>
        <v>Сергей В.</v>
      </c>
      <c r="T5" s="5" t="str">
        <f>sales_data!I5</f>
        <v>Опт</v>
      </c>
    </row>
    <row r="6" spans="1:20" ht="21.95" customHeight="1" x14ac:dyDescent="0.25">
      <c r="A6" s="4">
        <v>203</v>
      </c>
      <c r="B6" s="5" t="s">
        <v>33</v>
      </c>
      <c r="C6" s="5" t="s">
        <v>22</v>
      </c>
      <c r="D6" s="5" t="s">
        <v>23</v>
      </c>
      <c r="E6" s="5" t="s">
        <v>34</v>
      </c>
      <c r="F6" s="4">
        <v>3</v>
      </c>
      <c r="G6" s="6">
        <v>72000</v>
      </c>
      <c r="H6" s="5" t="s">
        <v>25</v>
      </c>
      <c r="I6" s="5" t="s">
        <v>26</v>
      </c>
      <c r="J6" s="4">
        <f>RANK(G6,$G$4:$G$12,0)+COUNTIF($G$4:G6,G6)-1</f>
        <v>1</v>
      </c>
      <c r="L6" s="4">
        <f>sales_data!A3</f>
        <v>1</v>
      </c>
      <c r="M6" s="5" t="str">
        <f>sales_data!B3</f>
        <v>Иванов И.</v>
      </c>
      <c r="N6" s="5" t="str">
        <f>sales_data!C3</f>
        <v>Москва</v>
      </c>
      <c r="O6" s="5" t="str">
        <f>sales_data!D3</f>
        <v>Электроника</v>
      </c>
      <c r="P6" s="5" t="str">
        <f>sales_data!E3</f>
        <v>Смартфон</v>
      </c>
      <c r="Q6" s="4">
        <f>sales_data!F3</f>
        <v>1</v>
      </c>
      <c r="R6" s="6">
        <f>sales_data!G3</f>
        <v>30000</v>
      </c>
      <c r="S6" s="5" t="str">
        <f>sales_data!H3</f>
        <v>Анна С.</v>
      </c>
      <c r="T6" s="5" t="str">
        <f>sales_data!I3</f>
        <v>Интернет-магазин</v>
      </c>
    </row>
    <row r="7" spans="1:20" ht="21.95" customHeight="1" x14ac:dyDescent="0.25">
      <c r="A7" s="4">
        <v>204</v>
      </c>
      <c r="B7" s="5" t="s">
        <v>35</v>
      </c>
      <c r="C7" s="5" t="s">
        <v>36</v>
      </c>
      <c r="D7" s="5" t="s">
        <v>37</v>
      </c>
      <c r="E7" s="5" t="s">
        <v>38</v>
      </c>
      <c r="F7" s="4">
        <v>5</v>
      </c>
      <c r="G7" s="6">
        <v>2500</v>
      </c>
      <c r="H7" s="5" t="s">
        <v>39</v>
      </c>
      <c r="I7" s="5" t="s">
        <v>40</v>
      </c>
      <c r="J7" s="4">
        <f>RANK(G7,$G$4:$G$12,0)+COUNTIF($G$4:G7,G7)-1</f>
        <v>9</v>
      </c>
      <c r="L7" s="4">
        <f>sales_data!A10</f>
        <v>8</v>
      </c>
      <c r="M7" s="5" t="str">
        <f>sales_data!B10</f>
        <v>Михайлова О.</v>
      </c>
      <c r="N7" s="5" t="str">
        <f>sales_data!C10</f>
        <v>Омск</v>
      </c>
      <c r="O7" s="5" t="str">
        <f>sales_data!D10</f>
        <v>Одежда</v>
      </c>
      <c r="P7" s="5" t="str">
        <f>sales_data!E10</f>
        <v>Джинсы</v>
      </c>
      <c r="Q7" s="4">
        <f>sales_data!F10</f>
        <v>8</v>
      </c>
      <c r="R7" s="6">
        <f>sales_data!G10</f>
        <v>2070</v>
      </c>
      <c r="S7" s="5" t="str">
        <f>sales_data!H10</f>
        <v>Сергей В.</v>
      </c>
      <c r="T7" s="5" t="str">
        <f>sales_data!I10</f>
        <v>Розница</v>
      </c>
    </row>
    <row r="8" spans="1:20" ht="21.95" customHeight="1" x14ac:dyDescent="0.25">
      <c r="A8" s="4">
        <v>205</v>
      </c>
      <c r="B8" s="5" t="s">
        <v>41</v>
      </c>
      <c r="C8" s="5" t="s">
        <v>22</v>
      </c>
      <c r="D8" s="5" t="s">
        <v>29</v>
      </c>
      <c r="E8" s="5" t="s">
        <v>42</v>
      </c>
      <c r="F8" s="4">
        <v>2</v>
      </c>
      <c r="G8" s="6">
        <v>18000</v>
      </c>
      <c r="H8" s="5" t="s">
        <v>25</v>
      </c>
      <c r="I8" s="5" t="s">
        <v>26</v>
      </c>
      <c r="J8" s="4">
        <f>RANK(G8,$G$4:$G$12,0)+COUNTIF($G$4:G8,G8)-1</f>
        <v>7</v>
      </c>
      <c r="L8" s="4">
        <f>sales_data!A8</f>
        <v>6</v>
      </c>
      <c r="M8" s="5" t="str">
        <f>sales_data!B8</f>
        <v>Попова Е.</v>
      </c>
      <c r="N8" s="5" t="str">
        <f>sales_data!C8</f>
        <v>Нижний Новгород</v>
      </c>
      <c r="O8" s="5" t="str">
        <f>sales_data!D8</f>
        <v>Электроника</v>
      </c>
      <c r="P8" s="5" t="str">
        <f>sales_data!E8</f>
        <v>Планшет</v>
      </c>
      <c r="Q8" s="4">
        <f>sales_data!F8</f>
        <v>6</v>
      </c>
      <c r="R8" s="6">
        <f>sales_data!G8</f>
        <v>20050</v>
      </c>
      <c r="S8" s="5" t="str">
        <f>sales_data!H8</f>
        <v>Анна С.</v>
      </c>
      <c r="T8" s="5" t="str">
        <f>sales_data!I8</f>
        <v>Опт</v>
      </c>
    </row>
    <row r="9" spans="1:20" ht="21.95" customHeight="1" x14ac:dyDescent="0.25">
      <c r="A9" s="4">
        <v>206</v>
      </c>
      <c r="B9" s="5" t="s">
        <v>43</v>
      </c>
      <c r="C9" s="5" t="s">
        <v>44</v>
      </c>
      <c r="D9" s="5" t="s">
        <v>23</v>
      </c>
      <c r="E9" s="5" t="s">
        <v>45</v>
      </c>
      <c r="F9" s="4">
        <v>1</v>
      </c>
      <c r="G9" s="6">
        <v>49000</v>
      </c>
      <c r="H9" s="5" t="s">
        <v>31</v>
      </c>
      <c r="I9" s="5" t="s">
        <v>32</v>
      </c>
      <c r="J9" s="4">
        <f>RANK(G9,$G$4:$G$12,0)+COUNTIF($G$4:G9,G9)-1</f>
        <v>4</v>
      </c>
      <c r="L9" s="4">
        <f>sales_data!A11</f>
        <v>9</v>
      </c>
      <c r="M9" s="5" t="str">
        <f>sales_data!B11</f>
        <v>Новиков А.</v>
      </c>
      <c r="N9" s="5" t="str">
        <f>sales_data!C11</f>
        <v>Ростов-на-Дону</v>
      </c>
      <c r="O9" s="5" t="str">
        <f>sales_data!D11</f>
        <v>Книги</v>
      </c>
      <c r="P9" s="5" t="str">
        <f>sales_data!E11</f>
        <v>Энциклопедия</v>
      </c>
      <c r="Q9" s="4">
        <f>sales_data!F11</f>
        <v>9</v>
      </c>
      <c r="R9" s="6">
        <f>sales_data!G11</f>
        <v>1580</v>
      </c>
      <c r="S9" s="5" t="str">
        <f>sales_data!H11</f>
        <v>Дмитрий П.</v>
      </c>
      <c r="T9" s="5" t="str">
        <f>sales_data!I11</f>
        <v>Опт</v>
      </c>
    </row>
    <row r="10" spans="1:20" ht="21.95" customHeight="1" x14ac:dyDescent="0.25">
      <c r="A10" s="4">
        <v>207</v>
      </c>
      <c r="B10" s="5" t="s">
        <v>46</v>
      </c>
      <c r="C10" s="5" t="s">
        <v>22</v>
      </c>
      <c r="D10" s="5" t="s">
        <v>37</v>
      </c>
      <c r="E10" s="5" t="s">
        <v>47</v>
      </c>
      <c r="F10" s="4">
        <v>4</v>
      </c>
      <c r="G10" s="6">
        <v>4000</v>
      </c>
      <c r="H10" s="5" t="s">
        <v>39</v>
      </c>
      <c r="I10" s="5" t="s">
        <v>26</v>
      </c>
      <c r="J10" s="4">
        <f>RANK(G10,$G$4:$G$12,0)+COUNTIF($G$4:G10,G10)-1</f>
        <v>8</v>
      </c>
      <c r="L10" s="4">
        <f>sales_data!A4</f>
        <v>2</v>
      </c>
      <c r="M10" s="5" t="str">
        <f>sales_data!B4</f>
        <v>Петров П.</v>
      </c>
      <c r="N10" s="5" t="str">
        <f>sales_data!C4</f>
        <v>Санкт-Петербург</v>
      </c>
      <c r="O10" s="5" t="str">
        <f>sales_data!D4</f>
        <v>Бытовая техника</v>
      </c>
      <c r="P10" s="5" t="str">
        <f>sales_data!E4</f>
        <v>Стиральная машина</v>
      </c>
      <c r="Q10" s="4">
        <f>sales_data!F4</f>
        <v>2</v>
      </c>
      <c r="R10" s="6">
        <f>sales_data!G4</f>
        <v>25010</v>
      </c>
      <c r="S10" s="5" t="str">
        <f>sales_data!H4</f>
        <v>Ольга К.</v>
      </c>
      <c r="T10" s="5" t="str">
        <f>sales_data!I4</f>
        <v>Розница</v>
      </c>
    </row>
    <row r="11" spans="1:20" ht="21.95" customHeight="1" x14ac:dyDescent="0.25">
      <c r="A11" s="4">
        <v>208</v>
      </c>
      <c r="B11" s="5" t="s">
        <v>48</v>
      </c>
      <c r="C11" s="5" t="s">
        <v>49</v>
      </c>
      <c r="D11" s="5" t="s">
        <v>23</v>
      </c>
      <c r="E11" s="5" t="s">
        <v>24</v>
      </c>
      <c r="F11" s="4">
        <v>2</v>
      </c>
      <c r="G11" s="6">
        <v>55000</v>
      </c>
      <c r="H11" s="5" t="s">
        <v>25</v>
      </c>
      <c r="I11" s="5" t="s">
        <v>40</v>
      </c>
      <c r="J11" s="4">
        <f>RANK(G11,$G$4:$G$12,0)+COUNTIF($G$4:G11,G11)-1</f>
        <v>3</v>
      </c>
      <c r="L11" s="4">
        <f>sales_data!A7</f>
        <v>5</v>
      </c>
      <c r="M11" s="5" t="str">
        <f>sales_data!B7</f>
        <v>Смирнов Д.</v>
      </c>
      <c r="N11" s="5" t="str">
        <f>sales_data!C7</f>
        <v>Казань</v>
      </c>
      <c r="O11" s="5" t="str">
        <f>sales_data!D7</f>
        <v>Спорттовары</v>
      </c>
      <c r="P11" s="5" t="str">
        <f>sales_data!E7</f>
        <v>Тренажер</v>
      </c>
      <c r="Q11" s="4">
        <f>sales_data!F7</f>
        <v>5</v>
      </c>
      <c r="R11" s="6">
        <f>sales_data!G7</f>
        <v>8040</v>
      </c>
      <c r="S11" s="5" t="str">
        <f>sales_data!H7</f>
        <v>Екатерина Н.</v>
      </c>
      <c r="T11" s="5" t="str">
        <f>sales_data!I7</f>
        <v>Розница</v>
      </c>
    </row>
    <row r="12" spans="1:20" ht="21.95" customHeight="1" x14ac:dyDescent="0.25">
      <c r="A12" s="4">
        <v>209</v>
      </c>
      <c r="B12" s="5" t="s">
        <v>50</v>
      </c>
      <c r="C12" s="5" t="s">
        <v>22</v>
      </c>
      <c r="D12" s="5" t="s">
        <v>23</v>
      </c>
      <c r="E12" s="5" t="s">
        <v>51</v>
      </c>
      <c r="F12" s="4">
        <v>1</v>
      </c>
      <c r="G12" s="6">
        <v>43000</v>
      </c>
      <c r="H12" s="5" t="s">
        <v>31</v>
      </c>
      <c r="I12" s="5" t="s">
        <v>32</v>
      </c>
      <c r="J12" s="4">
        <f>RANK(G12,$G$4:$G$12,0)+COUNTIF($G$4:G12,G12)-1</f>
        <v>5</v>
      </c>
      <c r="L12" s="4">
        <f>sales_data!A9</f>
        <v>7</v>
      </c>
      <c r="M12" s="5" t="str">
        <f>sales_data!B9</f>
        <v>Васильев С.</v>
      </c>
      <c r="N12" s="5" t="str">
        <f>sales_data!C9</f>
        <v>Челябинск</v>
      </c>
      <c r="O12" s="5" t="str">
        <f>sales_data!D9</f>
        <v>Бытовая техника</v>
      </c>
      <c r="P12" s="5" t="str">
        <f>sales_data!E9</f>
        <v>Холодильник</v>
      </c>
      <c r="Q12" s="4">
        <f>sales_data!F9</f>
        <v>7</v>
      </c>
      <c r="R12" s="6">
        <f>sales_data!G9</f>
        <v>35060</v>
      </c>
      <c r="S12" s="5" t="str">
        <f>sales_data!H9</f>
        <v>Ольга К.</v>
      </c>
      <c r="T12" s="5" t="str">
        <f>sales_data!I9</f>
        <v>Интернет-магазин</v>
      </c>
    </row>
    <row r="13" spans="1:20" ht="21.95" customHeight="1" x14ac:dyDescent="0.25">
      <c r="L13" s="4">
        <f>sales_data!A6</f>
        <v>4</v>
      </c>
      <c r="M13" s="5" t="str">
        <f>sales_data!B6</f>
        <v>Кузнецова М.</v>
      </c>
      <c r="N13" s="5" t="str">
        <f>sales_data!C6</f>
        <v>Новосибирск</v>
      </c>
      <c r="O13" s="5" t="str">
        <f>sales_data!D6</f>
        <v>Книги</v>
      </c>
      <c r="P13" s="5" t="str">
        <f>sales_data!E6</f>
        <v>Роман</v>
      </c>
      <c r="Q13" s="4">
        <f>sales_data!F6</f>
        <v>4</v>
      </c>
      <c r="R13" s="6">
        <f>sales_data!G6</f>
        <v>530</v>
      </c>
      <c r="S13" s="5" t="str">
        <f>sales_data!H6</f>
        <v>Дмитрий П.</v>
      </c>
      <c r="T13" s="5" t="str">
        <f>sales_data!I6</f>
        <v>Интернет-магазин</v>
      </c>
    </row>
    <row r="14" spans="1:20" ht="21.95" customHeight="1" x14ac:dyDescent="0.25"/>
    <row r="15" spans="1:20" ht="21.95" customHeight="1" x14ac:dyDescent="0.25">
      <c r="L15" s="9" t="s">
        <v>68</v>
      </c>
      <c r="M15" s="4">
        <f>L5</f>
        <v>3</v>
      </c>
    </row>
  </sheetData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2"/>
  <sheetViews>
    <sheetView workbookViewId="0"/>
  </sheetViews>
  <sheetFormatPr defaultRowHeight="15" x14ac:dyDescent="0.25"/>
  <cols>
    <col min="1" max="1" width="10" customWidth="1"/>
    <col min="2" max="2" width="18" customWidth="1"/>
    <col min="3" max="3" width="17" customWidth="1"/>
    <col min="4" max="4" width="14" customWidth="1"/>
    <col min="5" max="5" width="18" customWidth="1"/>
    <col min="6" max="6" width="10" customWidth="1"/>
    <col min="7" max="7" width="11" customWidth="1"/>
    <col min="8" max="8" width="12" customWidth="1"/>
    <col min="9" max="9" width="14" customWidth="1"/>
    <col min="10" max="10" width="12" customWidth="1"/>
    <col min="11" max="11" width="16" customWidth="1"/>
    <col min="12" max="12" width="3" customWidth="1"/>
    <col min="13" max="13" width="12" customWidth="1"/>
    <col min="14" max="14" width="18" customWidth="1"/>
    <col min="15" max="15" width="17" customWidth="1"/>
    <col min="16" max="16" width="14" customWidth="1"/>
    <col min="17" max="17" width="18" customWidth="1"/>
    <col min="18" max="18" width="10" customWidth="1"/>
    <col min="19" max="19" width="11" customWidth="1"/>
    <col min="20" max="20" width="12" customWidth="1"/>
    <col min="21" max="21" width="14" customWidth="1"/>
    <col min="22" max="22" width="12" customWidth="1"/>
  </cols>
  <sheetData>
    <row r="1" spans="1:22" ht="26.1" customHeight="1" x14ac:dyDescent="0.25">
      <c r="A1" s="11" t="s">
        <v>69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22" ht="21.95" customHeight="1" x14ac:dyDescent="0.25"/>
    <row r="3" spans="1:22" ht="24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70</v>
      </c>
      <c r="K3" s="3" t="s">
        <v>71</v>
      </c>
      <c r="M3" s="10" t="s">
        <v>72</v>
      </c>
    </row>
    <row r="4" spans="1:22" ht="21.95" customHeight="1" x14ac:dyDescent="0.25">
      <c r="A4" s="4">
        <v>201</v>
      </c>
      <c r="B4" s="5" t="s">
        <v>21</v>
      </c>
      <c r="C4" s="5" t="s">
        <v>22</v>
      </c>
      <c r="D4" s="5" t="s">
        <v>23</v>
      </c>
      <c r="E4" s="5" t="s">
        <v>24</v>
      </c>
      <c r="F4" s="4">
        <v>2</v>
      </c>
      <c r="G4" s="6">
        <v>55000</v>
      </c>
      <c r="H4" s="5" t="s">
        <v>25</v>
      </c>
      <c r="I4" s="5" t="s">
        <v>26</v>
      </c>
      <c r="J4" s="6">
        <f t="shared" ref="J4:J12" si="0">F4*G4</f>
        <v>110000</v>
      </c>
      <c r="K4" s="4" t="str">
        <f t="shared" ref="K4:K12" si="1">IF(J4&gt;=100000,"Крупный заказ","Обычный")</f>
        <v>Крупный заказ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7" t="s">
        <v>19</v>
      </c>
      <c r="U4" s="7" t="s">
        <v>20</v>
      </c>
      <c r="V4" s="7" t="s">
        <v>70</v>
      </c>
    </row>
    <row r="5" spans="1:22" ht="21.95" customHeight="1" x14ac:dyDescent="0.25">
      <c r="A5" s="4">
        <v>202</v>
      </c>
      <c r="B5" s="5" t="s">
        <v>27</v>
      </c>
      <c r="C5" s="5" t="s">
        <v>28</v>
      </c>
      <c r="D5" s="5" t="s">
        <v>29</v>
      </c>
      <c r="E5" s="5" t="s">
        <v>30</v>
      </c>
      <c r="F5" s="4">
        <v>1</v>
      </c>
      <c r="G5" s="6">
        <v>23000</v>
      </c>
      <c r="H5" s="5" t="s">
        <v>31</v>
      </c>
      <c r="I5" s="5" t="s">
        <v>32</v>
      </c>
      <c r="J5" s="6">
        <f t="shared" si="0"/>
        <v>23000</v>
      </c>
      <c r="K5" s="4" t="str">
        <f t="shared" si="1"/>
        <v>Обычный</v>
      </c>
      <c r="M5" s="4">
        <f>sales_data!A5</f>
        <v>3</v>
      </c>
      <c r="N5" s="5" t="str">
        <f>sales_data!B5</f>
        <v>Сидорова А.</v>
      </c>
      <c r="O5" s="5" t="str">
        <f>sales_data!C5</f>
        <v>Екатеринбург</v>
      </c>
      <c r="P5" s="5" t="str">
        <f>sales_data!D5</f>
        <v>Одежда</v>
      </c>
      <c r="Q5" s="5" t="str">
        <f>sales_data!E5</f>
        <v>Футболка</v>
      </c>
      <c r="R5" s="4">
        <f>sales_data!F5</f>
        <v>3</v>
      </c>
      <c r="S5" s="6">
        <f>sales_data!G5</f>
        <v>1020</v>
      </c>
      <c r="T5" s="5" t="str">
        <f>sales_data!H5</f>
        <v>Сергей В.</v>
      </c>
      <c r="U5" s="5" t="str">
        <f>sales_data!I5</f>
        <v>Опт</v>
      </c>
      <c r="V5" s="6">
        <f>R5*S5</f>
        <v>3060</v>
      </c>
    </row>
    <row r="6" spans="1:22" ht="21.95" customHeight="1" x14ac:dyDescent="0.25">
      <c r="A6" s="4">
        <v>203</v>
      </c>
      <c r="B6" s="5" t="s">
        <v>33</v>
      </c>
      <c r="C6" s="5" t="s">
        <v>22</v>
      </c>
      <c r="D6" s="5" t="s">
        <v>23</v>
      </c>
      <c r="E6" s="5" t="s">
        <v>34</v>
      </c>
      <c r="F6" s="4">
        <v>3</v>
      </c>
      <c r="G6" s="6">
        <v>72000</v>
      </c>
      <c r="H6" s="5" t="s">
        <v>25</v>
      </c>
      <c r="I6" s="5" t="s">
        <v>26</v>
      </c>
      <c r="J6" s="6">
        <f t="shared" si="0"/>
        <v>216000</v>
      </c>
      <c r="K6" s="4" t="str">
        <f t="shared" si="1"/>
        <v>Крупный заказ</v>
      </c>
      <c r="M6" s="4">
        <f>sales_data!A3</f>
        <v>1</v>
      </c>
      <c r="N6" s="5" t="str">
        <f>sales_data!B3</f>
        <v>Иванов И.</v>
      </c>
      <c r="O6" s="5" t="str">
        <f>sales_data!C3</f>
        <v>Москва</v>
      </c>
      <c r="P6" s="5" t="str">
        <f>sales_data!D3</f>
        <v>Электроника</v>
      </c>
      <c r="Q6" s="5" t="str">
        <f>sales_data!E3</f>
        <v>Смартфон</v>
      </c>
      <c r="R6" s="4">
        <f>sales_data!F3</f>
        <v>1</v>
      </c>
      <c r="S6" s="6">
        <f>sales_data!G3</f>
        <v>30000</v>
      </c>
      <c r="T6" s="5" t="str">
        <f>sales_data!H3</f>
        <v>Анна С.</v>
      </c>
      <c r="U6" s="5" t="str">
        <f>sales_data!I3</f>
        <v>Интернет-магазин</v>
      </c>
      <c r="V6" s="6">
        <f>R6*S6</f>
        <v>30000</v>
      </c>
    </row>
    <row r="7" spans="1:22" ht="21.95" customHeight="1" x14ac:dyDescent="0.25">
      <c r="A7" s="4">
        <v>204</v>
      </c>
      <c r="B7" s="5" t="s">
        <v>35</v>
      </c>
      <c r="C7" s="5" t="s">
        <v>36</v>
      </c>
      <c r="D7" s="5" t="s">
        <v>37</v>
      </c>
      <c r="E7" s="5" t="s">
        <v>38</v>
      </c>
      <c r="F7" s="4">
        <v>5</v>
      </c>
      <c r="G7" s="6">
        <v>2500</v>
      </c>
      <c r="H7" s="5" t="s">
        <v>39</v>
      </c>
      <c r="I7" s="5" t="s">
        <v>40</v>
      </c>
      <c r="J7" s="6">
        <f t="shared" si="0"/>
        <v>12500</v>
      </c>
      <c r="K7" s="4" t="str">
        <f t="shared" si="1"/>
        <v>Обычный</v>
      </c>
      <c r="M7" s="4">
        <f>sales_data!A10</f>
        <v>8</v>
      </c>
      <c r="N7" s="5" t="str">
        <f>sales_data!B10</f>
        <v>Михайлова О.</v>
      </c>
      <c r="O7" s="5" t="str">
        <f>sales_data!C10</f>
        <v>Омск</v>
      </c>
      <c r="P7" s="5" t="str">
        <f>sales_data!D10</f>
        <v>Одежда</v>
      </c>
      <c r="Q7" s="5" t="str">
        <f>sales_data!E10</f>
        <v>Джинсы</v>
      </c>
      <c r="R7" s="4">
        <f>sales_data!F10</f>
        <v>8</v>
      </c>
      <c r="S7" s="6">
        <f>sales_data!G10</f>
        <v>2070</v>
      </c>
      <c r="T7" s="5" t="str">
        <f>sales_data!H10</f>
        <v>Сергей В.</v>
      </c>
      <c r="U7" s="5" t="str">
        <f>sales_data!I10</f>
        <v>Розница</v>
      </c>
      <c r="V7" s="6">
        <f>R7*S7</f>
        <v>16560</v>
      </c>
    </row>
    <row r="8" spans="1:22" ht="21.95" customHeight="1" x14ac:dyDescent="0.25">
      <c r="A8" s="4">
        <v>205</v>
      </c>
      <c r="B8" s="5" t="s">
        <v>41</v>
      </c>
      <c r="C8" s="5" t="s">
        <v>22</v>
      </c>
      <c r="D8" s="5" t="s">
        <v>29</v>
      </c>
      <c r="E8" s="5" t="s">
        <v>42</v>
      </c>
      <c r="F8" s="4">
        <v>2</v>
      </c>
      <c r="G8" s="6">
        <v>18000</v>
      </c>
      <c r="H8" s="5" t="s">
        <v>25</v>
      </c>
      <c r="I8" s="5" t="s">
        <v>26</v>
      </c>
      <c r="J8" s="6">
        <f t="shared" si="0"/>
        <v>36000</v>
      </c>
      <c r="K8" s="4" t="str">
        <f t="shared" si="1"/>
        <v>Обычный</v>
      </c>
    </row>
    <row r="9" spans="1:22" ht="21.95" customHeight="1" x14ac:dyDescent="0.25">
      <c r="A9" s="4">
        <v>206</v>
      </c>
      <c r="B9" s="5" t="s">
        <v>43</v>
      </c>
      <c r="C9" s="5" t="s">
        <v>44</v>
      </c>
      <c r="D9" s="5" t="s">
        <v>23</v>
      </c>
      <c r="E9" s="5" t="s">
        <v>45</v>
      </c>
      <c r="F9" s="4">
        <v>1</v>
      </c>
      <c r="G9" s="6">
        <v>49000</v>
      </c>
      <c r="H9" s="5" t="s">
        <v>31</v>
      </c>
      <c r="I9" s="5" t="s">
        <v>32</v>
      </c>
      <c r="J9" s="6">
        <f t="shared" si="0"/>
        <v>49000</v>
      </c>
      <c r="K9" s="4" t="str">
        <f t="shared" si="1"/>
        <v>Обычный</v>
      </c>
    </row>
    <row r="10" spans="1:22" ht="21.95" customHeight="1" x14ac:dyDescent="0.25">
      <c r="A10" s="4">
        <v>207</v>
      </c>
      <c r="B10" s="5" t="s">
        <v>46</v>
      </c>
      <c r="C10" s="5" t="s">
        <v>22</v>
      </c>
      <c r="D10" s="5" t="s">
        <v>37</v>
      </c>
      <c r="E10" s="5" t="s">
        <v>47</v>
      </c>
      <c r="F10" s="4">
        <v>4</v>
      </c>
      <c r="G10" s="6">
        <v>4000</v>
      </c>
      <c r="H10" s="5" t="s">
        <v>39</v>
      </c>
      <c r="I10" s="5" t="s">
        <v>26</v>
      </c>
      <c r="J10" s="6">
        <f t="shared" si="0"/>
        <v>16000</v>
      </c>
      <c r="K10" s="4" t="str">
        <f t="shared" si="1"/>
        <v>Обычный</v>
      </c>
      <c r="M10" s="10" t="s">
        <v>73</v>
      </c>
      <c r="N10" s="6">
        <f>SUM(J4:J12)</f>
        <v>615500</v>
      </c>
    </row>
    <row r="11" spans="1:22" ht="21.95" customHeight="1" x14ac:dyDescent="0.25">
      <c r="A11" s="4">
        <v>208</v>
      </c>
      <c r="B11" s="5" t="s">
        <v>48</v>
      </c>
      <c r="C11" s="5" t="s">
        <v>49</v>
      </c>
      <c r="D11" s="5" t="s">
        <v>23</v>
      </c>
      <c r="E11" s="5" t="s">
        <v>24</v>
      </c>
      <c r="F11" s="4">
        <v>2</v>
      </c>
      <c r="G11" s="6">
        <v>55000</v>
      </c>
      <c r="H11" s="5" t="s">
        <v>25</v>
      </c>
      <c r="I11" s="5" t="s">
        <v>40</v>
      </c>
      <c r="J11" s="6">
        <f t="shared" si="0"/>
        <v>110000</v>
      </c>
      <c r="K11" s="4" t="str">
        <f t="shared" si="1"/>
        <v>Крупный заказ</v>
      </c>
      <c r="M11" s="10" t="s">
        <v>74</v>
      </c>
      <c r="N11" s="4">
        <f>COUNTIF(K4:K12,"Крупный заказ")</f>
        <v>3</v>
      </c>
    </row>
    <row r="12" spans="1:22" ht="21.95" customHeight="1" x14ac:dyDescent="0.25">
      <c r="A12" s="4">
        <v>209</v>
      </c>
      <c r="B12" s="5" t="s">
        <v>50</v>
      </c>
      <c r="C12" s="5" t="s">
        <v>22</v>
      </c>
      <c r="D12" s="5" t="s">
        <v>23</v>
      </c>
      <c r="E12" s="5" t="s">
        <v>51</v>
      </c>
      <c r="F12" s="4">
        <v>1</v>
      </c>
      <c r="G12" s="6">
        <v>43000</v>
      </c>
      <c r="H12" s="5" t="s">
        <v>31</v>
      </c>
      <c r="I12" s="5" t="s">
        <v>32</v>
      </c>
      <c r="J12" s="6">
        <f t="shared" si="0"/>
        <v>43000</v>
      </c>
      <c r="K12" s="4" t="str">
        <f t="shared" si="1"/>
        <v>Обычный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/>
  </sheetViews>
  <sheetFormatPr defaultRowHeight="15" x14ac:dyDescent="0.25"/>
  <cols>
    <col min="1" max="1" width="55" customWidth="1"/>
    <col min="2" max="2" width="18" customWidth="1"/>
    <col min="3" max="3" width="38" customWidth="1"/>
  </cols>
  <sheetData>
    <row r="1" spans="1:4" ht="26.1" customHeight="1" x14ac:dyDescent="0.25">
      <c r="A1" s="11" t="s">
        <v>75</v>
      </c>
      <c r="B1" s="12"/>
      <c r="C1" s="12"/>
      <c r="D1" s="13"/>
    </row>
    <row r="2" spans="1:4" ht="21.95" customHeight="1" x14ac:dyDescent="0.25"/>
    <row r="3" spans="1:4" ht="24" customHeight="1" x14ac:dyDescent="0.25">
      <c r="A3" s="7" t="s">
        <v>76</v>
      </c>
      <c r="B3" s="7" t="s">
        <v>77</v>
      </c>
      <c r="C3" s="7" t="s">
        <v>78</v>
      </c>
    </row>
    <row r="4" spans="1:4" ht="21.95" customHeight="1" x14ac:dyDescent="0.25">
      <c r="A4" s="2" t="s">
        <v>79</v>
      </c>
      <c r="B4" s="4">
        <f>COUNTA(sales_data!A3:A11)</f>
        <v>9</v>
      </c>
      <c r="C4" s="2" t="s">
        <v>80</v>
      </c>
    </row>
    <row r="5" spans="1:4" ht="21.95" customHeight="1" x14ac:dyDescent="0.25">
      <c r="A5" s="2" t="s">
        <v>81</v>
      </c>
      <c r="B5" s="4">
        <f>COUNTIF('2_Фильтр_1'!J4:J12,"Да")</f>
        <v>5</v>
      </c>
      <c r="C5" s="2" t="s">
        <v>82</v>
      </c>
    </row>
    <row r="6" spans="1:4" ht="21.95" customHeight="1" x14ac:dyDescent="0.25">
      <c r="A6" s="2" t="s">
        <v>83</v>
      </c>
      <c r="B6" s="4">
        <f>COUNTIF('3_Фильтр_2'!J4:J12,"Да")</f>
        <v>4</v>
      </c>
      <c r="C6" s="2" t="s">
        <v>84</v>
      </c>
    </row>
    <row r="7" spans="1:4" ht="21.95" customHeight="1" x14ac:dyDescent="0.25">
      <c r="A7" s="2" t="s">
        <v>85</v>
      </c>
      <c r="B7" s="4">
        <f>SUM('5_Новые_столбцы'!J4:J12)</f>
        <v>615500</v>
      </c>
      <c r="C7" s="2" t="s">
        <v>86</v>
      </c>
    </row>
    <row r="8" spans="1:4" ht="21.95" customHeight="1" x14ac:dyDescent="0.25">
      <c r="A8" s="2" t="s">
        <v>87</v>
      </c>
      <c r="B8" s="4">
        <f>COUNTIF('5_Новые_столбцы'!K4:K12,"Крупный заказ")</f>
        <v>3</v>
      </c>
      <c r="C8" s="2" t="s">
        <v>88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a417cd-1461-4943-a860-4cb4d05c96be" xsi:nil="true"/>
    <lcf76f155ced4ddcb4097134ff3c332f xmlns="36208828-9969-4b73-bb77-f045d89e955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DEAEBEBB66B4B88D66787F055A81B" ma:contentTypeVersion="11" ma:contentTypeDescription="Create a new document." ma:contentTypeScope="" ma:versionID="1b88847c9fe6b26fa67261bbb8b1c80a">
  <xsd:schema xmlns:xsd="http://www.w3.org/2001/XMLSchema" xmlns:xs="http://www.w3.org/2001/XMLSchema" xmlns:p="http://schemas.microsoft.com/office/2006/metadata/properties" xmlns:ns2="36208828-9969-4b73-bb77-f045d89e9554" xmlns:ns3="19a417cd-1461-4943-a860-4cb4d05c96be" targetNamespace="http://schemas.microsoft.com/office/2006/metadata/properties" ma:root="true" ma:fieldsID="4b81e6e864b9c373d4615dbe59b7e60e" ns2:_="" ns3:_="">
    <xsd:import namespace="36208828-9969-4b73-bb77-f045d89e9554"/>
    <xsd:import namespace="19a417cd-1461-4943-a860-4cb4d05c9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08828-9969-4b73-bb77-f045d89e9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337a3fc-4456-4954-9b0b-07bfd45f7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417cd-1461-4943-a860-4cb4d05c96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9379c40-fa90-4dde-8395-12c6c804e41a}" ma:internalName="TaxCatchAll" ma:showField="CatchAllData" ma:web="19a417cd-1461-4943-a860-4cb4d05c96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7ED5B4-E508-4B24-9685-15127AF9C102}">
  <ds:schemaRefs>
    <ds:schemaRef ds:uri="http://schemas.microsoft.com/office/2006/metadata/properties"/>
    <ds:schemaRef ds:uri="http://schemas.microsoft.com/office/infopath/2007/PartnerControls"/>
    <ds:schemaRef ds:uri="19a417cd-1461-4943-a860-4cb4d05c96be"/>
    <ds:schemaRef ds:uri="36208828-9969-4b73-bb77-f045d89e9554"/>
  </ds:schemaRefs>
</ds:datastoreItem>
</file>

<file path=customXml/itemProps2.xml><?xml version="1.0" encoding="utf-8"?>
<ds:datastoreItem xmlns:ds="http://schemas.openxmlformats.org/officeDocument/2006/customXml" ds:itemID="{444FB88A-CE30-4B3E-9C89-ADEA5E7D72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81E4E6-45F3-47E4-ACCF-81643FA9A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208828-9969-4b73-bb77-f045d89e9554"/>
    <ds:schemaRef ds:uri="19a417cd-1461-4943-a860-4cb4d05c9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0_Теория</vt:lpstr>
      <vt:lpstr>sales_data</vt:lpstr>
      <vt:lpstr>1_Обзор</vt:lpstr>
      <vt:lpstr>2_Фильтр_1</vt:lpstr>
      <vt:lpstr>3_Фильтр_2</vt:lpstr>
      <vt:lpstr>4_Сортировка</vt:lpstr>
      <vt:lpstr>5_Новые_столбцы</vt:lpstr>
      <vt:lpstr>6_Тест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Бучинский Даниил Константинович</cp:lastModifiedBy>
  <dcterms:modified xsi:type="dcterms:W3CDTF">2026-08-31T16:30:53Z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0x010100619DEAEBEBB66B4B88D66787F055A81B</vt:lpwstr>
  </property>
</Properties>
</file>
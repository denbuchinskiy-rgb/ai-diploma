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Разработчик ИИ\Анализ данных в Excel и оcновы Python\Занятие 9\"/>
    </mc:Choice>
  </mc:AlternateContent>
  <xr:revisionPtr revIDLastSave="0" documentId="13_ncr:1_{6EA3AC43-940A-4EAB-8DC1-9783C9C025BC}" xr6:coauthVersionLast="47" xr6:coauthVersionMax="47" xr10:uidLastSave="{00000000-0000-0000-0000-000000000000}"/>
  <bookViews>
    <workbookView xWindow="6075" yWindow="4095" windowWidth="21600" windowHeight="11385" activeTab="1" xr2:uid="{00000000-000D-0000-FFFF-FFFF00000000}"/>
  </bookViews>
  <sheets>
    <sheet name="0_Теория" sheetId="1" r:id="rId1"/>
    <sheet name="sales_data" sheetId="2" r:id="rId2"/>
    <sheet name="1_Агрегаты" sheetId="3" r:id="rId3"/>
    <sheet name="2_Группировка_1" sheetId="4" r:id="rId4"/>
    <sheet name="3_Группировка_2" sheetId="5" r:id="rId5"/>
    <sheet name="4_Сортировка" sheetId="6" r:id="rId6"/>
    <sheet name="5_Мини_сводная" sheetId="7" r:id="rId7"/>
    <sheet name="6_Тест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3" i="2" l="1"/>
  <c r="J103" i="2"/>
  <c r="I103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B8" i="8" l="1"/>
  <c r="B4" i="8"/>
  <c r="C6" i="7"/>
  <c r="E5" i="7"/>
  <c r="E4" i="7"/>
  <c r="D6" i="6"/>
  <c r="A6" i="6"/>
  <c r="D5" i="6"/>
  <c r="A5" i="6"/>
  <c r="D4" i="6"/>
  <c r="A4" i="6"/>
  <c r="E14" i="5"/>
  <c r="D14" i="5"/>
  <c r="E13" i="5"/>
  <c r="D13" i="5"/>
  <c r="E12" i="5"/>
  <c r="D12" i="5"/>
  <c r="C12" i="5"/>
  <c r="E11" i="5"/>
  <c r="D11" i="5"/>
  <c r="E10" i="5"/>
  <c r="D10" i="5"/>
  <c r="C10" i="5"/>
  <c r="E9" i="5"/>
  <c r="D9" i="5"/>
  <c r="K8" i="5"/>
  <c r="I8" i="5"/>
  <c r="E8" i="5"/>
  <c r="D8" i="5"/>
  <c r="J7" i="5"/>
  <c r="I7" i="5"/>
  <c r="H7" i="5"/>
  <c r="E7" i="5"/>
  <c r="D7" i="5"/>
  <c r="K6" i="5"/>
  <c r="E6" i="5"/>
  <c r="D6" i="5"/>
  <c r="C6" i="5"/>
  <c r="K5" i="5"/>
  <c r="J5" i="5"/>
  <c r="H5" i="5"/>
  <c r="E5" i="5"/>
  <c r="D5" i="5"/>
  <c r="E4" i="5"/>
  <c r="D4" i="5"/>
  <c r="I10" i="4"/>
  <c r="H10" i="4"/>
  <c r="G10" i="4"/>
  <c r="I9" i="4"/>
  <c r="H9" i="4"/>
  <c r="G9" i="4"/>
  <c r="I8" i="4"/>
  <c r="H8" i="4"/>
  <c r="G8" i="4"/>
  <c r="I7" i="4"/>
  <c r="H7" i="4"/>
  <c r="G7" i="4"/>
  <c r="I6" i="4"/>
  <c r="H6" i="4"/>
  <c r="G6" i="4"/>
  <c r="D6" i="4"/>
  <c r="C6" i="4"/>
  <c r="C6" i="6" s="1"/>
  <c r="I5" i="4"/>
  <c r="H5" i="4"/>
  <c r="G5" i="4"/>
  <c r="D5" i="4"/>
  <c r="C5" i="4"/>
  <c r="C5" i="6" s="1"/>
  <c r="B5" i="4"/>
  <c r="B5" i="6" s="1"/>
  <c r="D4" i="4"/>
  <c r="C4" i="4"/>
  <c r="C4" i="6" s="1"/>
  <c r="M9" i="3"/>
  <c r="L9" i="3"/>
  <c r="K9" i="3"/>
  <c r="J9" i="3"/>
  <c r="I9" i="3"/>
  <c r="H9" i="3"/>
  <c r="G9" i="3"/>
  <c r="F9" i="3"/>
  <c r="M8" i="3"/>
  <c r="L8" i="3"/>
  <c r="K8" i="3"/>
  <c r="J8" i="3"/>
  <c r="I8" i="3"/>
  <c r="H8" i="3"/>
  <c r="G8" i="3"/>
  <c r="F8" i="3"/>
  <c r="M7" i="3"/>
  <c r="L7" i="3"/>
  <c r="K7" i="3"/>
  <c r="J7" i="3"/>
  <c r="I7" i="3"/>
  <c r="H7" i="3"/>
  <c r="G7" i="3"/>
  <c r="F7" i="3"/>
  <c r="N6" i="3"/>
  <c r="M6" i="3"/>
  <c r="L6" i="3"/>
  <c r="K6" i="3"/>
  <c r="J6" i="3"/>
  <c r="I6" i="3"/>
  <c r="H6" i="3"/>
  <c r="G6" i="3"/>
  <c r="F6" i="3"/>
  <c r="M5" i="3"/>
  <c r="L5" i="3"/>
  <c r="K5" i="3"/>
  <c r="J5" i="3"/>
  <c r="I5" i="3"/>
  <c r="H5" i="3"/>
  <c r="G5" i="3"/>
  <c r="F5" i="3"/>
  <c r="C4" i="3"/>
  <c r="B4" i="3"/>
  <c r="I14" i="2"/>
  <c r="D4" i="7" s="1"/>
  <c r="I13" i="2"/>
  <c r="C13" i="5" s="1"/>
  <c r="I12" i="2"/>
  <c r="B6" i="7" s="1"/>
  <c r="I11" i="2"/>
  <c r="C4" i="7" s="1"/>
  <c r="I10" i="2"/>
  <c r="D5" i="7" s="1"/>
  <c r="I9" i="2"/>
  <c r="K7" i="5" s="1"/>
  <c r="I8" i="2"/>
  <c r="J10" i="4" s="1"/>
  <c r="I7" i="2"/>
  <c r="N9" i="3" s="1"/>
  <c r="I6" i="2"/>
  <c r="D6" i="7" s="1"/>
  <c r="I5" i="2"/>
  <c r="J7" i="4" s="1"/>
  <c r="I4" i="2"/>
  <c r="I5" i="5" s="1"/>
  <c r="I3" i="2"/>
  <c r="J5" i="4" s="1"/>
  <c r="J9" i="4" l="1"/>
  <c r="G5" i="6"/>
  <c r="D7" i="7"/>
  <c r="B5" i="3"/>
  <c r="C5" i="3"/>
  <c r="C4" i="5"/>
  <c r="H5" i="6"/>
  <c r="B8" i="3"/>
  <c r="E5" i="4"/>
  <c r="B4" i="4"/>
  <c r="C8" i="5"/>
  <c r="H6" i="5"/>
  <c r="C11" i="5"/>
  <c r="C14" i="5"/>
  <c r="B6" i="4"/>
  <c r="N8" i="3"/>
  <c r="I6" i="5"/>
  <c r="B5" i="7"/>
  <c r="C6" i="3"/>
  <c r="J6" i="4"/>
  <c r="N7" i="3"/>
  <c r="J8" i="4"/>
  <c r="C5" i="5"/>
  <c r="J6" i="5"/>
  <c r="H8" i="5"/>
  <c r="C5" i="7"/>
  <c r="C7" i="7" s="1"/>
  <c r="N5" i="3"/>
  <c r="B7" i="3"/>
  <c r="C8" i="3"/>
  <c r="C7" i="5"/>
  <c r="J8" i="5"/>
  <c r="G4" i="6"/>
  <c r="G8" i="6" s="1"/>
  <c r="B6" i="8" s="1"/>
  <c r="G6" i="6"/>
  <c r="H4" i="6"/>
  <c r="H8" i="6" s="1"/>
  <c r="H6" i="6"/>
  <c r="C9" i="5"/>
  <c r="B6" i="3"/>
  <c r="B5" i="8"/>
  <c r="B4" i="7"/>
  <c r="E6" i="7"/>
  <c r="F6" i="7" s="1"/>
  <c r="C7" i="3"/>
  <c r="E4" i="4" l="1"/>
  <c r="B4" i="6"/>
  <c r="F5" i="7"/>
  <c r="F4" i="7"/>
  <c r="F7" i="7" s="1"/>
  <c r="B7" i="7"/>
  <c r="E6" i="4"/>
  <c r="B6" i="6"/>
  <c r="E7" i="7"/>
  <c r="B7" i="8" l="1"/>
  <c r="D9" i="7"/>
  <c r="B9" i="7"/>
</calcChain>
</file>

<file path=xl/sharedStrings.xml><?xml version="1.0" encoding="utf-8"?>
<sst xmlns="http://schemas.openxmlformats.org/spreadsheetml/2006/main" count="634" uniqueCount="125">
  <si>
    <t>Занятие 9. Группировка, агрегаты и мини-сводные таблицы</t>
  </si>
  <si>
    <t>Тема</t>
  </si>
  <si>
    <t>Как считать агрегаты, группировать данные по менеджерам и категориям, а также строить мини-сводные таблицы в Excel и Python.</t>
  </si>
  <si>
    <t>Зачем это нужно</t>
  </si>
  <si>
    <t>Группировка помогает быстро увидеть общую выручку, количество заказов и лидеров продаж без просмотра каждой строки вручную.</t>
  </si>
  <si>
    <t>Ключевые методы Python</t>
  </si>
  <si>
    <t>groupby(), agg(), reset_index(), sort_values(), pivot_table().</t>
  </si>
  <si>
    <t>Ключевые действия в Excel</t>
  </si>
  <si>
    <t>SUM, AVERAGE, COUNTA, SUMIFS, COUNTIFS, INDEX/MATCH, мини-сводная таблица по строкам и столбцам.</t>
  </si>
  <si>
    <t>Мини-проект урока</t>
  </si>
  <si>
    <t>Определить лидера по выручке среди менеджеров и сравнить категории товаров по выручке.</t>
  </si>
  <si>
    <t>Лист sales_data — исходные данные для ноутбука</t>
  </si>
  <si>
    <t>order_id</t>
  </si>
  <si>
    <t>month</t>
  </si>
  <si>
    <t>manager</t>
  </si>
  <si>
    <t>city</t>
  </si>
  <si>
    <t>category</t>
  </si>
  <si>
    <t>product</t>
  </si>
  <si>
    <t>quantity</t>
  </si>
  <si>
    <t>price</t>
  </si>
  <si>
    <t>revenue</t>
  </si>
  <si>
    <t>Январь</t>
  </si>
  <si>
    <t>Анна</t>
  </si>
  <si>
    <t>Москва</t>
  </si>
  <si>
    <t>Ноутбуки</t>
  </si>
  <si>
    <t>Борис</t>
  </si>
  <si>
    <t>Санкт-Петербург</t>
  </si>
  <si>
    <t>Мониторы</t>
  </si>
  <si>
    <t>Февраль</t>
  </si>
  <si>
    <t>Светлана</t>
  </si>
  <si>
    <t>Казань</t>
  </si>
  <si>
    <t>Периферия</t>
  </si>
  <si>
    <t>Новосибирск</t>
  </si>
  <si>
    <t>Март</t>
  </si>
  <si>
    <t>Принтеры</t>
  </si>
  <si>
    <t>Екатеринбург</t>
  </si>
  <si>
    <t>Апрель</t>
  </si>
  <si>
    <t>Шаг 1. Считаем базовые агрегаты по таблице</t>
  </si>
  <si>
    <t>Показатель</t>
  </si>
  <si>
    <t>Формула в Excel</t>
  </si>
  <si>
    <t>Значение</t>
  </si>
  <si>
    <t>Комментарий</t>
  </si>
  <si>
    <t>Первые строки исходной таблицы</t>
  </si>
  <si>
    <t>Количество заказов</t>
  </si>
  <si>
    <t>Аналог df.shape[0] или count по order_id.</t>
  </si>
  <si>
    <t>Общая выручка</t>
  </si>
  <si>
    <t>Аналог df['revenue'].sum().</t>
  </si>
  <si>
    <t>Средняя выручка заказа</t>
  </si>
  <si>
    <t>Аналог df['revenue'].mean().</t>
  </si>
  <si>
    <t>Максимальная выручка заказа</t>
  </si>
  <si>
    <t>Аналог df['revenue'].max().</t>
  </si>
  <si>
    <t>Минимальная выручка заказа</t>
  </si>
  <si>
    <t>Аналог df['revenue'].min().</t>
  </si>
  <si>
    <t>Шаг 2. Группировка по manager</t>
  </si>
  <si>
    <t>total_revenue</t>
  </si>
  <si>
    <t>orders</t>
  </si>
  <si>
    <t>total_quantity</t>
  </si>
  <si>
    <t>avg_revenue</t>
  </si>
  <si>
    <t>Исходные поля для сравнения</t>
  </si>
  <si>
    <t>Шаг 3. Группировка по month и category</t>
  </si>
  <si>
    <t>Мини-сводная: revenue по месяцам и категориям</t>
  </si>
  <si>
    <t>Шаг 4. Сортируем итоговые значения и ищем лидера</t>
  </si>
  <si>
    <t>rank_by_revenue</t>
  </si>
  <si>
    <t>rank</t>
  </si>
  <si>
    <t>Лидер по выручке</t>
  </si>
  <si>
    <t>Шаг 5. Мини-сводная таблица revenue по manager и category</t>
  </si>
  <si>
    <t>Итого</t>
  </si>
  <si>
    <t>Лучшая категория</t>
  </si>
  <si>
    <t>Выручка</t>
  </si>
  <si>
    <t>Тест по занятию 9</t>
  </si>
  <si>
    <t>Вопрос</t>
  </si>
  <si>
    <t>Правильный ответ</t>
  </si>
  <si>
    <t>Подсказка</t>
  </si>
  <si>
    <t/>
  </si>
  <si>
    <t>Сколько заказов в исходной таблице?</t>
  </si>
  <si>
    <t>Смотрите sheet sales_data или df.shape[0].</t>
  </si>
  <si>
    <t>Какая общая выручка по всем заказам?</t>
  </si>
  <si>
    <t>Это сумма revenue.</t>
  </si>
  <si>
    <t>Кто лидер по выручке среди менеджеров?</t>
  </si>
  <si>
    <t>Используйте groupby по manager и sort_values().</t>
  </si>
  <si>
    <t>Какая выручка у категории 'Ноутбуки'?</t>
  </si>
  <si>
    <t>Посмотрите итоги по столбцам в мини-сводной.</t>
  </si>
  <si>
    <t>Сколько заказов у Анны?</t>
  </si>
  <si>
    <t>Аналог groupby().count().</t>
  </si>
  <si>
    <t>Иванов А.С.</t>
  </si>
  <si>
    <t>Офисная мебель</t>
  </si>
  <si>
    <t>Кресло</t>
  </si>
  <si>
    <t>Смирнова О.В.</t>
  </si>
  <si>
    <t>Расходные материалы</t>
  </si>
  <si>
    <t>Кабель HDMI</t>
  </si>
  <si>
    <t>Петров В.Д.</t>
  </si>
  <si>
    <t>Картридж</t>
  </si>
  <si>
    <t>Бытовая техника</t>
  </si>
  <si>
    <t>Пылесос</t>
  </si>
  <si>
    <t>Шкаф</t>
  </si>
  <si>
    <t>Канцелярия</t>
  </si>
  <si>
    <t>Бумага А4</t>
  </si>
  <si>
    <t>Сидорова Е.К.</t>
  </si>
  <si>
    <t>Ежедневник</t>
  </si>
  <si>
    <t>Тумба</t>
  </si>
  <si>
    <t>Микроволновка</t>
  </si>
  <si>
    <t>Кузнецов М.Р.</t>
  </si>
  <si>
    <t>Папка</t>
  </si>
  <si>
    <t>Тонер</t>
  </si>
  <si>
    <t>Стеллаж</t>
  </si>
  <si>
    <t>Степлер</t>
  </si>
  <si>
    <t>Батарейки</t>
  </si>
  <si>
    <t>Стиральная машина</t>
  </si>
  <si>
    <t>Электроника</t>
  </si>
  <si>
    <t>Системный блок</t>
  </si>
  <si>
    <t>Холодильник</t>
  </si>
  <si>
    <t>Ноутбук</t>
  </si>
  <si>
    <t>Чайник</t>
  </si>
  <si>
    <t>USB-накопитель</t>
  </si>
  <si>
    <t>Стол</t>
  </si>
  <si>
    <t>Принтер</t>
  </si>
  <si>
    <t>Ручка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</si>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</sst>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sz val="11"/>
      <color rgb="FF000000"/>
      <name val="Calibri"/>
    </font>
    <font>
      <sz val="11"/>
      <color rgb="FF666666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BDD7EE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0" fillId="0" borderId="0" xfId="1" applyFont="1" applyAlignment="1">
      <alignment vertical="top" wrapText="1"/>
    </xf>
    <xf numFmtId="0" fontId="2" fillId="3" borderId="0" xfId="1" applyFont="1" applyFill="1" applyAlignment="1">
      <alignment vertical="top" wrapText="1"/>
    </xf>
    <xf numFmtId="0" fontId="0" fillId="0" borderId="0" xfId="1" applyFont="1" applyAlignment="1">
      <alignment horizontal="center" vertical="center" wrapText="1"/>
    </xf>
    <xf numFmtId="0" fontId="2" fillId="4" borderId="0" xfId="1" applyFont="1" applyFill="1" applyAlignment="1">
      <alignment horizontal="center" vertical="center" wrapText="1"/>
    </xf>
    <xf numFmtId="3" fontId="3" fillId="0" borderId="0" xfId="1" applyNumberFormat="1" applyFont="1" applyAlignment="1">
      <alignment horizontal="center" vertical="center" wrapText="1"/>
    </xf>
    <xf numFmtId="0" fontId="2" fillId="4" borderId="0" xfId="1" applyFont="1" applyFill="1" applyAlignment="1">
      <alignment vertical="top" wrapText="1"/>
    </xf>
    <xf numFmtId="0" fontId="2" fillId="5" borderId="0" xfId="1" applyFont="1" applyFill="1" applyAlignment="1">
      <alignment vertical="top" wrapText="1"/>
    </xf>
    <xf numFmtId="0" fontId="4" fillId="0" borderId="0" xfId="1" applyFont="1" applyAlignment="1">
      <alignment vertical="top" wrapText="1"/>
    </xf>
    <xf numFmtId="3" fontId="3" fillId="0" borderId="0" xfId="1" applyNumberFormat="1" applyFont="1" applyAlignment="1">
      <alignment vertical="top" wrapText="1"/>
    </xf>
    <xf numFmtId="0" fontId="3" fillId="0" borderId="0" xfId="1" applyFont="1" applyAlignment="1">
      <alignment horizontal="center" vertical="center" wrapText="1"/>
    </xf>
    <xf numFmtId="3" fontId="0" fillId="0" borderId="0" xfId="1" applyNumberFormat="1" applyFont="1" applyAlignment="1">
      <alignment horizontal="center" vertical="center" wrapText="1"/>
    </xf>
    <xf numFmtId="3" fontId="0" fillId="0" borderId="0" xfId="1" applyNumberFormat="1" applyFont="1" applyAlignment="1">
      <alignment vertical="top" wrapText="1"/>
    </xf>
    <xf numFmtId="0" fontId="2" fillId="5" borderId="0" xfId="1" applyFont="1" applyFill="1" applyAlignment="1">
      <alignment horizontal="center" vertical="center" wrapText="1"/>
    </xf>
    <xf numFmtId="0" fontId="0" fillId="6" borderId="0" xfId="1" applyFont="1" applyFill="1" applyAlignment="1">
      <alignment vertical="top" wrapText="1"/>
    </xf>
    <xf numFmtId="3" fontId="0" fillId="6" borderId="0" xfId="1" applyNumberFormat="1" applyFont="1" applyFill="1" applyAlignment="1">
      <alignment horizontal="center" vertical="center" wrapText="1"/>
    </xf>
    <xf numFmtId="3" fontId="2" fillId="5" borderId="0" xfId="1" applyNumberFormat="1" applyFont="1" applyFill="1" applyAlignment="1">
      <alignment vertical="top" wrapText="1"/>
    </xf>
    <xf numFmtId="3" fontId="2" fillId="5" borderId="0" xfId="1" applyNumberFormat="1" applyFont="1" applyFill="1" applyAlignment="1">
      <alignment horizontal="center" vertical="center" wrapText="1"/>
    </xf>
    <xf numFmtId="0" fontId="0" fillId="6" borderId="0" xfId="1" applyFont="1" applyFill="1" applyAlignment="1">
      <alignment horizontal="center" vertical="center" wrapText="1"/>
    </xf>
    <xf numFmtId="3" fontId="0" fillId="6" borderId="0" xfId="1" applyNumberFormat="1" applyFont="1" applyFill="1" applyAlignment="1">
      <alignment vertical="top" wrapText="1"/>
    </xf>
    <xf numFmtId="3" fontId="0" fillId="0" borderId="0" xfId="0" applyNumberFormat="1"/>
    <xf numFmtId="0" fontId="1" fillId="2" borderId="0" xfId="1" applyFont="1" applyFill="1" applyAlignment="1">
      <alignment vertical="top" wrapText="1"/>
    </xf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sqref="A1:F1"/>
    </sheetView>
  </sheetViews>
  <sheetFormatPr defaultRowHeight="15" x14ac:dyDescent="0.25"/>
  <cols>
    <col min="1" max="1" width="22" customWidth="1"/>
    <col min="2" max="2" width="95" customWidth="1"/>
    <col min="3" max="6" width="2" customWidth="1"/>
  </cols>
  <sheetData>
    <row r="1" spans="1:6" ht="21.95" customHeight="1" x14ac:dyDescent="0.25">
      <c r="A1" s="21" t="s">
        <v>0</v>
      </c>
      <c r="B1" s="22"/>
      <c r="C1" s="22"/>
      <c r="D1" s="22"/>
      <c r="E1" s="22"/>
      <c r="F1" s="22"/>
    </row>
    <row r="2" spans="1:6" ht="21.95" customHeight="1" x14ac:dyDescent="0.25"/>
    <row r="3" spans="1:6" ht="21.95" customHeight="1" x14ac:dyDescent="0.25">
      <c r="A3" s="2" t="s">
        <v>1</v>
      </c>
      <c r="B3" s="1" t="s">
        <v>2</v>
      </c>
      <c r="C3" s="3"/>
      <c r="D3" s="1"/>
      <c r="E3" s="3"/>
      <c r="F3" s="1"/>
    </row>
    <row r="4" spans="1:6" ht="21.95" customHeight="1" x14ac:dyDescent="0.25">
      <c r="A4" s="2" t="s">
        <v>3</v>
      </c>
      <c r="B4" s="1" t="s">
        <v>4</v>
      </c>
      <c r="C4" s="3"/>
      <c r="D4" s="1"/>
      <c r="E4" s="3"/>
      <c r="F4" s="1"/>
    </row>
    <row r="5" spans="1:6" ht="21.95" customHeight="1" x14ac:dyDescent="0.25">
      <c r="A5" s="2" t="s">
        <v>5</v>
      </c>
      <c r="B5" s="1" t="s">
        <v>6</v>
      </c>
      <c r="C5" s="3"/>
      <c r="D5" s="1"/>
      <c r="E5" s="3"/>
      <c r="F5" s="1"/>
    </row>
    <row r="6" spans="1:6" ht="21.95" customHeight="1" x14ac:dyDescent="0.25">
      <c r="A6" s="2" t="s">
        <v>7</v>
      </c>
      <c r="B6" s="1" t="s">
        <v>8</v>
      </c>
      <c r="C6" s="3"/>
      <c r="D6" s="1"/>
      <c r="E6" s="3"/>
      <c r="F6" s="1"/>
    </row>
    <row r="7" spans="1:6" ht="21.95" customHeight="1" x14ac:dyDescent="0.25">
      <c r="A7" s="2" t="s">
        <v>9</v>
      </c>
      <c r="B7" s="1" t="s">
        <v>10</v>
      </c>
      <c r="C7" s="3"/>
      <c r="D7" s="1"/>
      <c r="E7" s="3"/>
      <c r="F7" s="1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3"/>
  <sheetViews>
    <sheetView tabSelected="1" topLeftCell="A82" workbookViewId="0">
      <selection activeCell="B104" sqref="B104"/>
    </sheetView>
  </sheetViews>
  <sheetFormatPr defaultRowHeight="15" x14ac:dyDescent="0.25"/>
  <cols>
    <col min="1" max="1" width="12" customWidth="1"/>
    <col min="2" max="3" width="14" customWidth="1"/>
    <col min="4" max="4" width="18" customWidth="1"/>
    <col min="5" max="5" width="25.28515625" customWidth="1"/>
    <col min="6" max="6" width="18" customWidth="1"/>
    <col min="7" max="7" width="10" customWidth="1"/>
    <col min="8" max="9" width="12" customWidth="1"/>
  </cols>
  <sheetData>
    <row r="1" spans="1:9" ht="21.95" customHeight="1" x14ac:dyDescent="0.25">
      <c r="A1" s="21" t="s">
        <v>11</v>
      </c>
      <c r="B1" s="22"/>
      <c r="C1" s="22"/>
      <c r="D1" s="22"/>
      <c r="E1" s="22"/>
      <c r="F1" s="22"/>
      <c r="G1" s="22"/>
      <c r="H1" s="22"/>
      <c r="I1" s="22"/>
    </row>
    <row r="2" spans="1:9" ht="21.95" customHeight="1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</row>
    <row r="3" spans="1:9" ht="21.95" customHeight="1" x14ac:dyDescent="0.25">
      <c r="A3">
        <v>1</v>
      </c>
      <c r="B3" t="s">
        <v>21</v>
      </c>
      <c r="C3" t="s">
        <v>84</v>
      </c>
      <c r="D3" t="s">
        <v>23</v>
      </c>
      <c r="E3" t="s">
        <v>85</v>
      </c>
      <c r="F3" t="s">
        <v>86</v>
      </c>
      <c r="G3">
        <v>8</v>
      </c>
      <c r="H3">
        <v>21360.92</v>
      </c>
      <c r="I3" s="5">
        <f t="shared" ref="I3:I66" si="0">G3*H3</f>
        <v>170887.36</v>
      </c>
    </row>
    <row r="4" spans="1:9" ht="21.95" customHeight="1" x14ac:dyDescent="0.25">
      <c r="A4">
        <v>2</v>
      </c>
      <c r="B4" t="s">
        <v>28</v>
      </c>
      <c r="C4" t="s">
        <v>87</v>
      </c>
      <c r="D4" t="s">
        <v>23</v>
      </c>
      <c r="E4" t="s">
        <v>88</v>
      </c>
      <c r="F4" t="s">
        <v>89</v>
      </c>
      <c r="G4">
        <v>2</v>
      </c>
      <c r="H4">
        <v>4954.68</v>
      </c>
      <c r="I4" s="5">
        <f t="shared" si="0"/>
        <v>9909.36</v>
      </c>
    </row>
    <row r="5" spans="1:9" ht="21.95" customHeight="1" x14ac:dyDescent="0.25">
      <c r="A5">
        <v>3</v>
      </c>
      <c r="B5" t="s">
        <v>33</v>
      </c>
      <c r="C5" t="s">
        <v>90</v>
      </c>
      <c r="D5" t="s">
        <v>30</v>
      </c>
      <c r="E5" t="s">
        <v>88</v>
      </c>
      <c r="F5" t="s">
        <v>91</v>
      </c>
      <c r="G5">
        <v>18</v>
      </c>
      <c r="H5">
        <v>30226.23</v>
      </c>
      <c r="I5" s="5">
        <f t="shared" si="0"/>
        <v>544072.14</v>
      </c>
    </row>
    <row r="6" spans="1:9" ht="21.95" customHeight="1" x14ac:dyDescent="0.25">
      <c r="A6">
        <v>4</v>
      </c>
      <c r="B6" t="s">
        <v>36</v>
      </c>
      <c r="C6" t="s">
        <v>87</v>
      </c>
      <c r="D6" t="s">
        <v>35</v>
      </c>
      <c r="E6" t="s">
        <v>92</v>
      </c>
      <c r="F6" t="s">
        <v>93</v>
      </c>
      <c r="G6">
        <v>19</v>
      </c>
      <c r="H6">
        <v>42089.51</v>
      </c>
      <c r="I6" s="5">
        <f t="shared" si="0"/>
        <v>799700.69000000006</v>
      </c>
    </row>
    <row r="7" spans="1:9" ht="21.95" customHeight="1" x14ac:dyDescent="0.25">
      <c r="A7">
        <v>5</v>
      </c>
      <c r="B7" t="s">
        <v>117</v>
      </c>
      <c r="C7" t="s">
        <v>90</v>
      </c>
      <c r="D7" t="s">
        <v>35</v>
      </c>
      <c r="E7" t="s">
        <v>85</v>
      </c>
      <c r="F7" t="s">
        <v>94</v>
      </c>
      <c r="G7">
        <v>5</v>
      </c>
      <c r="H7">
        <v>32689.41</v>
      </c>
      <c r="I7" s="5">
        <f t="shared" si="0"/>
        <v>163447.04999999999</v>
      </c>
    </row>
    <row r="8" spans="1:9" ht="21.95" customHeight="1" x14ac:dyDescent="0.25">
      <c r="A8">
        <v>6</v>
      </c>
      <c r="B8" t="s">
        <v>118</v>
      </c>
      <c r="C8" t="s">
        <v>84</v>
      </c>
      <c r="D8" t="s">
        <v>23</v>
      </c>
      <c r="E8" t="s">
        <v>95</v>
      </c>
      <c r="F8" t="s">
        <v>96</v>
      </c>
      <c r="G8">
        <v>12</v>
      </c>
      <c r="H8">
        <v>127200.41</v>
      </c>
      <c r="I8" s="5">
        <f t="shared" si="0"/>
        <v>1526404.92</v>
      </c>
    </row>
    <row r="9" spans="1:9" ht="21.95" customHeight="1" x14ac:dyDescent="0.25">
      <c r="A9">
        <v>7</v>
      </c>
      <c r="B9" t="s">
        <v>119</v>
      </c>
      <c r="C9" t="s">
        <v>97</v>
      </c>
      <c r="D9" t="s">
        <v>23</v>
      </c>
      <c r="E9" t="s">
        <v>95</v>
      </c>
      <c r="F9" t="s">
        <v>98</v>
      </c>
      <c r="G9">
        <v>4</v>
      </c>
      <c r="H9">
        <v>145980.81</v>
      </c>
      <c r="I9" s="5">
        <f t="shared" si="0"/>
        <v>583923.24</v>
      </c>
    </row>
    <row r="10" spans="1:9" ht="21.95" customHeight="1" x14ac:dyDescent="0.25">
      <c r="A10">
        <v>8</v>
      </c>
      <c r="B10" t="s">
        <v>120</v>
      </c>
      <c r="C10" t="s">
        <v>84</v>
      </c>
      <c r="D10" t="s">
        <v>30</v>
      </c>
      <c r="E10" t="s">
        <v>85</v>
      </c>
      <c r="F10" t="s">
        <v>99</v>
      </c>
      <c r="G10">
        <v>12</v>
      </c>
      <c r="H10">
        <v>86814.15</v>
      </c>
      <c r="I10" s="5">
        <f t="shared" si="0"/>
        <v>1041769.7999999999</v>
      </c>
    </row>
    <row r="11" spans="1:9" ht="21.95" customHeight="1" x14ac:dyDescent="0.25">
      <c r="A11">
        <v>9</v>
      </c>
      <c r="B11" t="s">
        <v>121</v>
      </c>
      <c r="C11" t="s">
        <v>84</v>
      </c>
      <c r="D11" t="s">
        <v>23</v>
      </c>
      <c r="E11" t="s">
        <v>92</v>
      </c>
      <c r="F11" t="s">
        <v>100</v>
      </c>
      <c r="G11">
        <v>3</v>
      </c>
      <c r="H11">
        <v>128370</v>
      </c>
      <c r="I11" s="5">
        <f t="shared" si="0"/>
        <v>385110</v>
      </c>
    </row>
    <row r="12" spans="1:9" ht="21.95" customHeight="1" x14ac:dyDescent="0.25">
      <c r="A12">
        <v>10</v>
      </c>
      <c r="B12" t="s">
        <v>122</v>
      </c>
      <c r="C12" t="s">
        <v>101</v>
      </c>
      <c r="D12" t="s">
        <v>32</v>
      </c>
      <c r="E12" t="s">
        <v>95</v>
      </c>
      <c r="F12" t="s">
        <v>102</v>
      </c>
      <c r="G12">
        <v>6</v>
      </c>
      <c r="H12">
        <v>55842.05</v>
      </c>
      <c r="I12" s="5">
        <f t="shared" si="0"/>
        <v>335052.30000000005</v>
      </c>
    </row>
    <row r="13" spans="1:9" ht="21.95" customHeight="1" x14ac:dyDescent="0.25">
      <c r="A13">
        <v>11</v>
      </c>
      <c r="B13" t="s">
        <v>123</v>
      </c>
      <c r="C13" t="s">
        <v>97</v>
      </c>
      <c r="D13" t="s">
        <v>23</v>
      </c>
      <c r="E13" t="s">
        <v>88</v>
      </c>
      <c r="F13" t="s">
        <v>103</v>
      </c>
      <c r="G13">
        <v>18</v>
      </c>
      <c r="H13">
        <v>109504.46</v>
      </c>
      <c r="I13" s="5">
        <f t="shared" si="0"/>
        <v>1971080.28</v>
      </c>
    </row>
    <row r="14" spans="1:9" ht="21.95" customHeight="1" x14ac:dyDescent="0.25">
      <c r="A14">
        <v>12</v>
      </c>
      <c r="B14" t="s">
        <v>124</v>
      </c>
      <c r="C14" t="s">
        <v>101</v>
      </c>
      <c r="D14" t="s">
        <v>35</v>
      </c>
      <c r="E14" t="s">
        <v>85</v>
      </c>
      <c r="F14" t="s">
        <v>99</v>
      </c>
      <c r="G14">
        <v>8</v>
      </c>
      <c r="H14">
        <v>102849.83</v>
      </c>
      <c r="I14" s="5">
        <f t="shared" si="0"/>
        <v>822798.64</v>
      </c>
    </row>
    <row r="15" spans="1:9" x14ac:dyDescent="0.25">
      <c r="A15">
        <v>13</v>
      </c>
      <c r="B15" t="s">
        <v>21</v>
      </c>
      <c r="C15" t="s">
        <v>90</v>
      </c>
      <c r="D15" t="s">
        <v>23</v>
      </c>
      <c r="E15" t="s">
        <v>85</v>
      </c>
      <c r="F15" t="s">
        <v>104</v>
      </c>
      <c r="G15">
        <v>9</v>
      </c>
      <c r="H15">
        <v>10395.200000000001</v>
      </c>
      <c r="I15" s="5">
        <f t="shared" si="0"/>
        <v>93556.800000000003</v>
      </c>
    </row>
    <row r="16" spans="1:9" x14ac:dyDescent="0.25">
      <c r="A16">
        <v>14</v>
      </c>
      <c r="B16" t="s">
        <v>28</v>
      </c>
      <c r="C16" t="s">
        <v>97</v>
      </c>
      <c r="D16" t="s">
        <v>26</v>
      </c>
      <c r="E16" t="s">
        <v>95</v>
      </c>
      <c r="F16" t="s">
        <v>105</v>
      </c>
      <c r="G16">
        <v>15</v>
      </c>
      <c r="H16">
        <v>21859.3</v>
      </c>
      <c r="I16" s="5">
        <f t="shared" si="0"/>
        <v>327889.5</v>
      </c>
    </row>
    <row r="17" spans="1:9" x14ac:dyDescent="0.25">
      <c r="A17">
        <v>15</v>
      </c>
      <c r="B17" t="s">
        <v>33</v>
      </c>
      <c r="C17" t="s">
        <v>90</v>
      </c>
      <c r="D17" t="s">
        <v>30</v>
      </c>
      <c r="E17" t="s">
        <v>88</v>
      </c>
      <c r="F17" t="s">
        <v>106</v>
      </c>
      <c r="G17">
        <v>19</v>
      </c>
      <c r="H17">
        <v>64550.86</v>
      </c>
      <c r="I17" s="5">
        <f t="shared" si="0"/>
        <v>1226466.3400000001</v>
      </c>
    </row>
    <row r="18" spans="1:9" x14ac:dyDescent="0.25">
      <c r="A18">
        <v>16</v>
      </c>
      <c r="B18" t="s">
        <v>36</v>
      </c>
      <c r="C18" t="s">
        <v>101</v>
      </c>
      <c r="D18" t="s">
        <v>32</v>
      </c>
      <c r="E18" t="s">
        <v>92</v>
      </c>
      <c r="F18" t="s">
        <v>107</v>
      </c>
      <c r="G18">
        <v>17</v>
      </c>
      <c r="H18">
        <v>74280.62</v>
      </c>
      <c r="I18" s="5">
        <f t="shared" si="0"/>
        <v>1262770.54</v>
      </c>
    </row>
    <row r="19" spans="1:9" x14ac:dyDescent="0.25">
      <c r="A19">
        <v>17</v>
      </c>
      <c r="B19" t="s">
        <v>117</v>
      </c>
      <c r="C19" t="s">
        <v>84</v>
      </c>
      <c r="D19" t="s">
        <v>26</v>
      </c>
      <c r="E19" t="s">
        <v>92</v>
      </c>
      <c r="F19" t="s">
        <v>93</v>
      </c>
      <c r="G19">
        <v>20</v>
      </c>
      <c r="H19">
        <v>9997.39</v>
      </c>
      <c r="I19" s="5">
        <f t="shared" si="0"/>
        <v>199947.8</v>
      </c>
    </row>
    <row r="20" spans="1:9" x14ac:dyDescent="0.25">
      <c r="A20">
        <v>18</v>
      </c>
      <c r="B20" t="s">
        <v>118</v>
      </c>
      <c r="C20" t="s">
        <v>87</v>
      </c>
      <c r="D20" t="s">
        <v>35</v>
      </c>
      <c r="E20" t="s">
        <v>88</v>
      </c>
      <c r="F20" t="s">
        <v>106</v>
      </c>
      <c r="G20">
        <v>18</v>
      </c>
      <c r="H20">
        <v>129186.57</v>
      </c>
      <c r="I20" s="5">
        <f t="shared" si="0"/>
        <v>2325358.2600000002</v>
      </c>
    </row>
    <row r="21" spans="1:9" x14ac:dyDescent="0.25">
      <c r="A21">
        <v>19</v>
      </c>
      <c r="B21" t="s">
        <v>119</v>
      </c>
      <c r="C21" t="s">
        <v>84</v>
      </c>
      <c r="D21" t="s">
        <v>30</v>
      </c>
      <c r="E21" t="s">
        <v>85</v>
      </c>
      <c r="F21" t="s">
        <v>94</v>
      </c>
      <c r="G21">
        <v>4</v>
      </c>
      <c r="H21">
        <v>44378.27</v>
      </c>
      <c r="I21" s="5">
        <f t="shared" si="0"/>
        <v>177513.08</v>
      </c>
    </row>
    <row r="22" spans="1:9" x14ac:dyDescent="0.25">
      <c r="A22">
        <v>20</v>
      </c>
      <c r="B22" t="s">
        <v>120</v>
      </c>
      <c r="C22" t="s">
        <v>101</v>
      </c>
      <c r="D22" t="s">
        <v>23</v>
      </c>
      <c r="E22" t="s">
        <v>85</v>
      </c>
      <c r="F22" t="s">
        <v>99</v>
      </c>
      <c r="G22">
        <v>6</v>
      </c>
      <c r="H22">
        <v>76398.41</v>
      </c>
      <c r="I22" s="5">
        <f t="shared" si="0"/>
        <v>458390.46</v>
      </c>
    </row>
    <row r="23" spans="1:9" x14ac:dyDescent="0.25">
      <c r="A23">
        <v>21</v>
      </c>
      <c r="B23" t="s">
        <v>121</v>
      </c>
      <c r="C23" t="s">
        <v>97</v>
      </c>
      <c r="D23" t="s">
        <v>30</v>
      </c>
      <c r="E23" t="s">
        <v>88</v>
      </c>
      <c r="F23" t="s">
        <v>103</v>
      </c>
      <c r="G23">
        <v>5</v>
      </c>
      <c r="H23">
        <v>56400.12</v>
      </c>
      <c r="I23" s="5">
        <f t="shared" si="0"/>
        <v>282000.60000000003</v>
      </c>
    </row>
    <row r="24" spans="1:9" x14ac:dyDescent="0.25">
      <c r="A24">
        <v>22</v>
      </c>
      <c r="B24" t="s">
        <v>122</v>
      </c>
      <c r="C24" t="s">
        <v>87</v>
      </c>
      <c r="D24" t="s">
        <v>30</v>
      </c>
      <c r="E24" t="s">
        <v>108</v>
      </c>
      <c r="F24" t="s">
        <v>109</v>
      </c>
      <c r="G24">
        <v>11</v>
      </c>
      <c r="H24">
        <v>73546.55</v>
      </c>
      <c r="I24" s="5">
        <f t="shared" si="0"/>
        <v>809012.05</v>
      </c>
    </row>
    <row r="25" spans="1:9" x14ac:dyDescent="0.25">
      <c r="A25">
        <v>23</v>
      </c>
      <c r="B25" t="s">
        <v>123</v>
      </c>
      <c r="C25" t="s">
        <v>97</v>
      </c>
      <c r="D25" t="s">
        <v>32</v>
      </c>
      <c r="E25" t="s">
        <v>92</v>
      </c>
      <c r="F25" t="s">
        <v>110</v>
      </c>
      <c r="G25">
        <v>8</v>
      </c>
      <c r="H25">
        <v>131762.44</v>
      </c>
      <c r="I25" s="5">
        <f t="shared" si="0"/>
        <v>1054099.52</v>
      </c>
    </row>
    <row r="26" spans="1:9" x14ac:dyDescent="0.25">
      <c r="A26">
        <v>24</v>
      </c>
      <c r="B26" t="s">
        <v>124</v>
      </c>
      <c r="C26" t="s">
        <v>84</v>
      </c>
      <c r="D26" t="s">
        <v>35</v>
      </c>
      <c r="E26" t="s">
        <v>108</v>
      </c>
      <c r="F26" t="s">
        <v>109</v>
      </c>
      <c r="G26">
        <v>5</v>
      </c>
      <c r="H26">
        <v>19694.52</v>
      </c>
      <c r="I26" s="5">
        <f t="shared" si="0"/>
        <v>98472.6</v>
      </c>
    </row>
    <row r="27" spans="1:9" x14ac:dyDescent="0.25">
      <c r="A27">
        <v>25</v>
      </c>
      <c r="B27" t="s">
        <v>21</v>
      </c>
      <c r="C27" t="s">
        <v>87</v>
      </c>
      <c r="D27" t="s">
        <v>26</v>
      </c>
      <c r="E27" t="s">
        <v>85</v>
      </c>
      <c r="F27" t="s">
        <v>99</v>
      </c>
      <c r="G27">
        <v>20</v>
      </c>
      <c r="H27">
        <v>63759.12</v>
      </c>
      <c r="I27" s="5">
        <f t="shared" si="0"/>
        <v>1275182.4000000001</v>
      </c>
    </row>
    <row r="28" spans="1:9" x14ac:dyDescent="0.25">
      <c r="A28">
        <v>26</v>
      </c>
      <c r="B28" t="s">
        <v>28</v>
      </c>
      <c r="C28" t="s">
        <v>87</v>
      </c>
      <c r="D28" t="s">
        <v>26</v>
      </c>
      <c r="E28" t="s">
        <v>85</v>
      </c>
      <c r="F28" t="s">
        <v>104</v>
      </c>
      <c r="G28">
        <v>12</v>
      </c>
      <c r="H28">
        <v>65995.960000000006</v>
      </c>
      <c r="I28" s="5">
        <f t="shared" si="0"/>
        <v>791951.52</v>
      </c>
    </row>
    <row r="29" spans="1:9" x14ac:dyDescent="0.25">
      <c r="A29">
        <v>27</v>
      </c>
      <c r="B29" t="s">
        <v>33</v>
      </c>
      <c r="C29" t="s">
        <v>101</v>
      </c>
      <c r="D29" t="s">
        <v>23</v>
      </c>
      <c r="E29" t="s">
        <v>92</v>
      </c>
      <c r="F29" t="s">
        <v>107</v>
      </c>
      <c r="G29">
        <v>3</v>
      </c>
      <c r="H29">
        <v>51043.79</v>
      </c>
      <c r="I29" s="5">
        <f t="shared" si="0"/>
        <v>153131.37</v>
      </c>
    </row>
    <row r="30" spans="1:9" x14ac:dyDescent="0.25">
      <c r="A30">
        <v>28</v>
      </c>
      <c r="B30" t="s">
        <v>36</v>
      </c>
      <c r="C30" t="s">
        <v>87</v>
      </c>
      <c r="D30" t="s">
        <v>26</v>
      </c>
      <c r="E30" t="s">
        <v>88</v>
      </c>
      <c r="F30" t="s">
        <v>103</v>
      </c>
      <c r="G30">
        <v>1</v>
      </c>
      <c r="H30">
        <v>11113.47</v>
      </c>
      <c r="I30" s="5">
        <f t="shared" si="0"/>
        <v>11113.47</v>
      </c>
    </row>
    <row r="31" spans="1:9" x14ac:dyDescent="0.25">
      <c r="A31">
        <v>29</v>
      </c>
      <c r="B31" t="s">
        <v>117</v>
      </c>
      <c r="C31" t="s">
        <v>84</v>
      </c>
      <c r="D31" t="s">
        <v>26</v>
      </c>
      <c r="E31" t="s">
        <v>108</v>
      </c>
      <c r="F31" t="s">
        <v>111</v>
      </c>
      <c r="G31">
        <v>11</v>
      </c>
      <c r="H31">
        <v>11093.17</v>
      </c>
      <c r="I31" s="5">
        <f t="shared" si="0"/>
        <v>122024.87</v>
      </c>
    </row>
    <row r="32" spans="1:9" x14ac:dyDescent="0.25">
      <c r="A32">
        <v>30</v>
      </c>
      <c r="B32" t="s">
        <v>118</v>
      </c>
      <c r="C32" t="s">
        <v>97</v>
      </c>
      <c r="D32" t="s">
        <v>35</v>
      </c>
      <c r="E32" t="s">
        <v>92</v>
      </c>
      <c r="F32" t="s">
        <v>112</v>
      </c>
      <c r="G32">
        <v>5</v>
      </c>
      <c r="H32">
        <v>108641.21</v>
      </c>
      <c r="I32" s="5">
        <f t="shared" si="0"/>
        <v>543206.05000000005</v>
      </c>
    </row>
    <row r="33" spans="1:9" x14ac:dyDescent="0.25">
      <c r="A33">
        <v>31</v>
      </c>
      <c r="B33" t="s">
        <v>119</v>
      </c>
      <c r="C33" t="s">
        <v>87</v>
      </c>
      <c r="D33" t="s">
        <v>35</v>
      </c>
      <c r="E33" t="s">
        <v>92</v>
      </c>
      <c r="F33" t="s">
        <v>93</v>
      </c>
      <c r="G33">
        <v>14</v>
      </c>
      <c r="H33">
        <v>28966.28</v>
      </c>
      <c r="I33" s="5">
        <f t="shared" si="0"/>
        <v>405527.92</v>
      </c>
    </row>
    <row r="34" spans="1:9" x14ac:dyDescent="0.25">
      <c r="A34">
        <v>32</v>
      </c>
      <c r="B34" t="s">
        <v>120</v>
      </c>
      <c r="C34" t="s">
        <v>101</v>
      </c>
      <c r="D34" t="s">
        <v>32</v>
      </c>
      <c r="E34" t="s">
        <v>95</v>
      </c>
      <c r="F34" t="s">
        <v>105</v>
      </c>
      <c r="G34">
        <v>15</v>
      </c>
      <c r="H34">
        <v>129643.59</v>
      </c>
      <c r="I34" s="5">
        <f t="shared" si="0"/>
        <v>1944653.8499999999</v>
      </c>
    </row>
    <row r="35" spans="1:9" x14ac:dyDescent="0.25">
      <c r="A35">
        <v>33</v>
      </c>
      <c r="B35" t="s">
        <v>121</v>
      </c>
      <c r="C35" t="s">
        <v>84</v>
      </c>
      <c r="D35" t="s">
        <v>23</v>
      </c>
      <c r="E35" t="s">
        <v>95</v>
      </c>
      <c r="F35" t="s">
        <v>102</v>
      </c>
      <c r="G35">
        <v>4</v>
      </c>
      <c r="H35">
        <v>37674.120000000003</v>
      </c>
      <c r="I35" s="5">
        <f t="shared" si="0"/>
        <v>150696.48000000001</v>
      </c>
    </row>
    <row r="36" spans="1:9" x14ac:dyDescent="0.25">
      <c r="A36">
        <v>34</v>
      </c>
      <c r="B36" t="s">
        <v>122</v>
      </c>
      <c r="C36" t="s">
        <v>87</v>
      </c>
      <c r="D36" t="s">
        <v>35</v>
      </c>
      <c r="E36" t="s">
        <v>92</v>
      </c>
      <c r="F36" t="s">
        <v>93</v>
      </c>
      <c r="G36">
        <v>6</v>
      </c>
      <c r="H36">
        <v>42142.5</v>
      </c>
      <c r="I36" s="5">
        <f t="shared" si="0"/>
        <v>252855</v>
      </c>
    </row>
    <row r="37" spans="1:9" x14ac:dyDescent="0.25">
      <c r="A37">
        <v>35</v>
      </c>
      <c r="B37" t="s">
        <v>123</v>
      </c>
      <c r="C37" t="s">
        <v>84</v>
      </c>
      <c r="D37" t="s">
        <v>35</v>
      </c>
      <c r="E37" t="s">
        <v>88</v>
      </c>
      <c r="F37" t="s">
        <v>91</v>
      </c>
      <c r="G37">
        <v>2</v>
      </c>
      <c r="H37">
        <v>97995.66</v>
      </c>
      <c r="I37" s="5">
        <f t="shared" si="0"/>
        <v>195991.32</v>
      </c>
    </row>
    <row r="38" spans="1:9" x14ac:dyDescent="0.25">
      <c r="A38">
        <v>36</v>
      </c>
      <c r="B38" t="s">
        <v>124</v>
      </c>
      <c r="C38" t="s">
        <v>84</v>
      </c>
      <c r="D38" t="s">
        <v>23</v>
      </c>
      <c r="E38" t="s">
        <v>92</v>
      </c>
      <c r="F38" t="s">
        <v>107</v>
      </c>
      <c r="G38">
        <v>14</v>
      </c>
      <c r="H38">
        <v>73103.350000000006</v>
      </c>
      <c r="I38" s="5">
        <f t="shared" si="0"/>
        <v>1023446.9000000001</v>
      </c>
    </row>
    <row r="39" spans="1:9" x14ac:dyDescent="0.25">
      <c r="A39">
        <v>37</v>
      </c>
      <c r="B39" t="s">
        <v>21</v>
      </c>
      <c r="C39" t="s">
        <v>101</v>
      </c>
      <c r="D39" t="s">
        <v>23</v>
      </c>
      <c r="E39" t="s">
        <v>92</v>
      </c>
      <c r="F39" t="s">
        <v>93</v>
      </c>
      <c r="G39">
        <v>1</v>
      </c>
      <c r="H39">
        <v>147803.67000000001</v>
      </c>
      <c r="I39" s="5">
        <f t="shared" si="0"/>
        <v>147803.67000000001</v>
      </c>
    </row>
    <row r="40" spans="1:9" x14ac:dyDescent="0.25">
      <c r="A40">
        <v>38</v>
      </c>
      <c r="B40" t="s">
        <v>28</v>
      </c>
      <c r="C40" t="s">
        <v>101</v>
      </c>
      <c r="D40" t="s">
        <v>32</v>
      </c>
      <c r="E40" t="s">
        <v>95</v>
      </c>
      <c r="F40" t="s">
        <v>98</v>
      </c>
      <c r="G40">
        <v>16</v>
      </c>
      <c r="H40">
        <v>23642.13</v>
      </c>
      <c r="I40" s="5">
        <f t="shared" si="0"/>
        <v>378274.08</v>
      </c>
    </row>
    <row r="41" spans="1:9" x14ac:dyDescent="0.25">
      <c r="A41">
        <v>39</v>
      </c>
      <c r="B41" t="s">
        <v>33</v>
      </c>
      <c r="C41" t="s">
        <v>90</v>
      </c>
      <c r="D41" t="s">
        <v>23</v>
      </c>
      <c r="E41" t="s">
        <v>88</v>
      </c>
      <c r="F41" t="s">
        <v>113</v>
      </c>
      <c r="G41">
        <v>2</v>
      </c>
      <c r="H41">
        <v>112322.35</v>
      </c>
      <c r="I41" s="5">
        <f t="shared" si="0"/>
        <v>224644.7</v>
      </c>
    </row>
    <row r="42" spans="1:9" x14ac:dyDescent="0.25">
      <c r="A42">
        <v>40</v>
      </c>
      <c r="B42" t="s">
        <v>36</v>
      </c>
      <c r="C42" t="s">
        <v>84</v>
      </c>
      <c r="D42" t="s">
        <v>30</v>
      </c>
      <c r="E42" t="s">
        <v>95</v>
      </c>
      <c r="F42" t="s">
        <v>98</v>
      </c>
      <c r="G42">
        <v>17</v>
      </c>
      <c r="H42">
        <v>24036.19</v>
      </c>
      <c r="I42" s="5">
        <f t="shared" si="0"/>
        <v>408615.23</v>
      </c>
    </row>
    <row r="43" spans="1:9" x14ac:dyDescent="0.25">
      <c r="A43">
        <v>41</v>
      </c>
      <c r="B43" t="s">
        <v>117</v>
      </c>
      <c r="C43" t="s">
        <v>84</v>
      </c>
      <c r="D43" t="s">
        <v>26</v>
      </c>
      <c r="E43" t="s">
        <v>108</v>
      </c>
      <c r="F43" t="s">
        <v>109</v>
      </c>
      <c r="G43">
        <v>3</v>
      </c>
      <c r="H43">
        <v>101444.28</v>
      </c>
      <c r="I43" s="5">
        <f t="shared" si="0"/>
        <v>304332.83999999997</v>
      </c>
    </row>
    <row r="44" spans="1:9" x14ac:dyDescent="0.25">
      <c r="A44">
        <v>42</v>
      </c>
      <c r="B44" t="s">
        <v>118</v>
      </c>
      <c r="C44" t="s">
        <v>101</v>
      </c>
      <c r="D44" t="s">
        <v>23</v>
      </c>
      <c r="E44" t="s">
        <v>88</v>
      </c>
      <c r="F44" t="s">
        <v>103</v>
      </c>
      <c r="G44">
        <v>19</v>
      </c>
      <c r="H44">
        <v>89380.61</v>
      </c>
      <c r="I44" s="5">
        <f t="shared" si="0"/>
        <v>1698231.59</v>
      </c>
    </row>
    <row r="45" spans="1:9" x14ac:dyDescent="0.25">
      <c r="A45">
        <v>43</v>
      </c>
      <c r="B45" t="s">
        <v>119</v>
      </c>
      <c r="C45" t="s">
        <v>84</v>
      </c>
      <c r="D45" t="s">
        <v>35</v>
      </c>
      <c r="E45" t="s">
        <v>88</v>
      </c>
      <c r="F45" t="s">
        <v>113</v>
      </c>
      <c r="G45">
        <v>17</v>
      </c>
      <c r="H45">
        <v>47797.29</v>
      </c>
      <c r="I45" s="5">
        <f t="shared" si="0"/>
        <v>812553.93</v>
      </c>
    </row>
    <row r="46" spans="1:9" x14ac:dyDescent="0.25">
      <c r="A46">
        <v>44</v>
      </c>
      <c r="B46" t="s">
        <v>120</v>
      </c>
      <c r="C46" t="s">
        <v>90</v>
      </c>
      <c r="D46" t="s">
        <v>32</v>
      </c>
      <c r="E46" t="s">
        <v>92</v>
      </c>
      <c r="F46" t="s">
        <v>100</v>
      </c>
      <c r="G46">
        <v>13</v>
      </c>
      <c r="H46">
        <v>20066.3</v>
      </c>
      <c r="I46" s="5">
        <f t="shared" si="0"/>
        <v>260861.9</v>
      </c>
    </row>
    <row r="47" spans="1:9" x14ac:dyDescent="0.25">
      <c r="A47">
        <v>45</v>
      </c>
      <c r="B47" t="s">
        <v>121</v>
      </c>
      <c r="C47" t="s">
        <v>97</v>
      </c>
      <c r="D47" t="s">
        <v>35</v>
      </c>
      <c r="E47" t="s">
        <v>85</v>
      </c>
      <c r="F47" t="s">
        <v>114</v>
      </c>
      <c r="G47">
        <v>1</v>
      </c>
      <c r="H47">
        <v>69013.69</v>
      </c>
      <c r="I47" s="5">
        <f t="shared" si="0"/>
        <v>69013.69</v>
      </c>
    </row>
    <row r="48" spans="1:9" x14ac:dyDescent="0.25">
      <c r="A48">
        <v>46</v>
      </c>
      <c r="B48" t="s">
        <v>122</v>
      </c>
      <c r="C48" t="s">
        <v>84</v>
      </c>
      <c r="D48" t="s">
        <v>23</v>
      </c>
      <c r="E48" t="s">
        <v>88</v>
      </c>
      <c r="F48" t="s">
        <v>103</v>
      </c>
      <c r="G48">
        <v>17</v>
      </c>
      <c r="H48">
        <v>40147.46</v>
      </c>
      <c r="I48" s="5">
        <f t="shared" si="0"/>
        <v>682506.82</v>
      </c>
    </row>
    <row r="49" spans="1:9" x14ac:dyDescent="0.25">
      <c r="A49">
        <v>47</v>
      </c>
      <c r="B49" t="s">
        <v>123</v>
      </c>
      <c r="C49" t="s">
        <v>84</v>
      </c>
      <c r="D49" t="s">
        <v>26</v>
      </c>
      <c r="E49" t="s">
        <v>85</v>
      </c>
      <c r="F49" t="s">
        <v>94</v>
      </c>
      <c r="G49">
        <v>6</v>
      </c>
      <c r="H49">
        <v>66008.59</v>
      </c>
      <c r="I49" s="5">
        <f t="shared" si="0"/>
        <v>396051.54</v>
      </c>
    </row>
    <row r="50" spans="1:9" x14ac:dyDescent="0.25">
      <c r="A50">
        <v>48</v>
      </c>
      <c r="B50" t="s">
        <v>124</v>
      </c>
      <c r="C50" t="s">
        <v>97</v>
      </c>
      <c r="D50" t="s">
        <v>30</v>
      </c>
      <c r="E50" t="s">
        <v>88</v>
      </c>
      <c r="F50" t="s">
        <v>91</v>
      </c>
      <c r="G50">
        <v>18</v>
      </c>
      <c r="H50">
        <v>45257.120000000003</v>
      </c>
      <c r="I50" s="5">
        <f t="shared" si="0"/>
        <v>814628.16</v>
      </c>
    </row>
    <row r="51" spans="1:9" x14ac:dyDescent="0.25">
      <c r="A51">
        <v>49</v>
      </c>
      <c r="B51" t="s">
        <v>21</v>
      </c>
      <c r="C51" t="s">
        <v>84</v>
      </c>
      <c r="D51" t="s">
        <v>26</v>
      </c>
      <c r="E51" t="s">
        <v>85</v>
      </c>
      <c r="F51" t="s">
        <v>114</v>
      </c>
      <c r="G51">
        <v>4</v>
      </c>
      <c r="H51">
        <v>111491.29</v>
      </c>
      <c r="I51" s="5">
        <f t="shared" si="0"/>
        <v>445965.16</v>
      </c>
    </row>
    <row r="52" spans="1:9" x14ac:dyDescent="0.25">
      <c r="A52">
        <v>50</v>
      </c>
      <c r="B52" t="s">
        <v>28</v>
      </c>
      <c r="C52" t="s">
        <v>97</v>
      </c>
      <c r="D52" t="s">
        <v>32</v>
      </c>
      <c r="E52" t="s">
        <v>88</v>
      </c>
      <c r="F52" t="s">
        <v>103</v>
      </c>
      <c r="G52">
        <v>11</v>
      </c>
      <c r="H52">
        <v>30937.8</v>
      </c>
      <c r="I52" s="5">
        <f t="shared" si="0"/>
        <v>340315.8</v>
      </c>
    </row>
    <row r="53" spans="1:9" x14ac:dyDescent="0.25">
      <c r="A53">
        <v>51</v>
      </c>
      <c r="B53" t="s">
        <v>33</v>
      </c>
      <c r="C53" t="s">
        <v>97</v>
      </c>
      <c r="D53" t="s">
        <v>30</v>
      </c>
      <c r="E53" t="s">
        <v>95</v>
      </c>
      <c r="F53" t="s">
        <v>102</v>
      </c>
      <c r="G53">
        <v>2</v>
      </c>
      <c r="H53">
        <v>14298.62</v>
      </c>
      <c r="I53" s="5">
        <f t="shared" si="0"/>
        <v>28597.24</v>
      </c>
    </row>
    <row r="54" spans="1:9" x14ac:dyDescent="0.25">
      <c r="A54">
        <v>52</v>
      </c>
      <c r="B54" t="s">
        <v>36</v>
      </c>
      <c r="C54" t="s">
        <v>97</v>
      </c>
      <c r="D54" t="s">
        <v>23</v>
      </c>
      <c r="E54" t="s">
        <v>108</v>
      </c>
      <c r="F54" t="s">
        <v>115</v>
      </c>
      <c r="G54">
        <v>5</v>
      </c>
      <c r="H54">
        <v>95748.45</v>
      </c>
      <c r="I54" s="5">
        <f t="shared" si="0"/>
        <v>478742.25</v>
      </c>
    </row>
    <row r="55" spans="1:9" x14ac:dyDescent="0.25">
      <c r="A55">
        <v>53</v>
      </c>
      <c r="B55" t="s">
        <v>117</v>
      </c>
      <c r="C55" t="s">
        <v>90</v>
      </c>
      <c r="D55" t="s">
        <v>35</v>
      </c>
      <c r="E55" t="s">
        <v>88</v>
      </c>
      <c r="F55" t="s">
        <v>89</v>
      </c>
      <c r="G55">
        <v>18</v>
      </c>
      <c r="H55">
        <v>1945.62</v>
      </c>
      <c r="I55" s="5">
        <f t="shared" si="0"/>
        <v>35021.159999999996</v>
      </c>
    </row>
    <row r="56" spans="1:9" x14ac:dyDescent="0.25">
      <c r="A56">
        <v>54</v>
      </c>
      <c r="B56" t="s">
        <v>118</v>
      </c>
      <c r="C56" t="s">
        <v>90</v>
      </c>
      <c r="D56" t="s">
        <v>30</v>
      </c>
      <c r="E56" t="s">
        <v>108</v>
      </c>
      <c r="F56" t="s">
        <v>115</v>
      </c>
      <c r="G56">
        <v>19</v>
      </c>
      <c r="H56">
        <v>83102.5</v>
      </c>
      <c r="I56" s="5">
        <f t="shared" si="0"/>
        <v>1578947.5</v>
      </c>
    </row>
    <row r="57" spans="1:9" x14ac:dyDescent="0.25">
      <c r="A57">
        <v>55</v>
      </c>
      <c r="B57" t="s">
        <v>119</v>
      </c>
      <c r="C57" t="s">
        <v>90</v>
      </c>
      <c r="D57" t="s">
        <v>23</v>
      </c>
      <c r="E57" t="s">
        <v>85</v>
      </c>
      <c r="F57" t="s">
        <v>94</v>
      </c>
      <c r="G57">
        <v>2</v>
      </c>
      <c r="H57">
        <v>134889.23000000001</v>
      </c>
      <c r="I57" s="5">
        <f t="shared" si="0"/>
        <v>269778.46000000002</v>
      </c>
    </row>
    <row r="58" spans="1:9" x14ac:dyDescent="0.25">
      <c r="A58">
        <v>56</v>
      </c>
      <c r="B58" t="s">
        <v>120</v>
      </c>
      <c r="C58" t="s">
        <v>90</v>
      </c>
      <c r="D58" t="s">
        <v>23</v>
      </c>
      <c r="E58" t="s">
        <v>85</v>
      </c>
      <c r="F58" t="s">
        <v>99</v>
      </c>
      <c r="G58">
        <v>14</v>
      </c>
      <c r="H58">
        <v>146088.63</v>
      </c>
      <c r="I58" s="5">
        <f t="shared" si="0"/>
        <v>2045240.82</v>
      </c>
    </row>
    <row r="59" spans="1:9" x14ac:dyDescent="0.25">
      <c r="A59">
        <v>57</v>
      </c>
      <c r="B59" t="s">
        <v>121</v>
      </c>
      <c r="C59" t="s">
        <v>90</v>
      </c>
      <c r="D59" t="s">
        <v>26</v>
      </c>
      <c r="E59" t="s">
        <v>92</v>
      </c>
      <c r="F59" t="s">
        <v>93</v>
      </c>
      <c r="G59">
        <v>1</v>
      </c>
      <c r="H59">
        <v>27314.42</v>
      </c>
      <c r="I59" s="5">
        <f t="shared" si="0"/>
        <v>27314.42</v>
      </c>
    </row>
    <row r="60" spans="1:9" x14ac:dyDescent="0.25">
      <c r="A60">
        <v>58</v>
      </c>
      <c r="B60" t="s">
        <v>122</v>
      </c>
      <c r="C60" t="s">
        <v>101</v>
      </c>
      <c r="D60" t="s">
        <v>26</v>
      </c>
      <c r="E60" t="s">
        <v>85</v>
      </c>
      <c r="F60" t="s">
        <v>86</v>
      </c>
      <c r="G60">
        <v>4</v>
      </c>
      <c r="H60">
        <v>57689.99</v>
      </c>
      <c r="I60" s="5">
        <f t="shared" si="0"/>
        <v>230759.96</v>
      </c>
    </row>
    <row r="61" spans="1:9" x14ac:dyDescent="0.25">
      <c r="A61">
        <v>59</v>
      </c>
      <c r="B61" t="s">
        <v>123</v>
      </c>
      <c r="C61" t="s">
        <v>101</v>
      </c>
      <c r="D61" t="s">
        <v>26</v>
      </c>
      <c r="E61" t="s">
        <v>92</v>
      </c>
      <c r="F61" t="s">
        <v>93</v>
      </c>
      <c r="G61">
        <v>12</v>
      </c>
      <c r="H61">
        <v>46126.03</v>
      </c>
      <c r="I61" s="5">
        <f t="shared" si="0"/>
        <v>553512.36</v>
      </c>
    </row>
    <row r="62" spans="1:9" x14ac:dyDescent="0.25">
      <c r="A62">
        <v>60</v>
      </c>
      <c r="B62" t="s">
        <v>124</v>
      </c>
      <c r="C62" t="s">
        <v>90</v>
      </c>
      <c r="D62" t="s">
        <v>23</v>
      </c>
      <c r="E62" t="s">
        <v>92</v>
      </c>
      <c r="F62" t="s">
        <v>93</v>
      </c>
      <c r="G62">
        <v>11</v>
      </c>
      <c r="H62">
        <v>42151.16</v>
      </c>
      <c r="I62" s="5">
        <f t="shared" si="0"/>
        <v>463662.76</v>
      </c>
    </row>
    <row r="63" spans="1:9" x14ac:dyDescent="0.25">
      <c r="A63">
        <v>61</v>
      </c>
      <c r="B63" t="s">
        <v>21</v>
      </c>
      <c r="C63" t="s">
        <v>97</v>
      </c>
      <c r="D63" t="s">
        <v>32</v>
      </c>
      <c r="E63" t="s">
        <v>88</v>
      </c>
      <c r="F63" t="s">
        <v>89</v>
      </c>
      <c r="G63">
        <v>18</v>
      </c>
      <c r="H63">
        <v>50006.91</v>
      </c>
      <c r="I63" s="5">
        <f t="shared" si="0"/>
        <v>900124.38000000012</v>
      </c>
    </row>
    <row r="64" spans="1:9" x14ac:dyDescent="0.25">
      <c r="A64">
        <v>62</v>
      </c>
      <c r="B64" t="s">
        <v>28</v>
      </c>
      <c r="C64" t="s">
        <v>84</v>
      </c>
      <c r="D64" t="s">
        <v>32</v>
      </c>
      <c r="E64" t="s">
        <v>92</v>
      </c>
      <c r="F64" t="s">
        <v>112</v>
      </c>
      <c r="G64">
        <v>9</v>
      </c>
      <c r="H64">
        <v>6219.45</v>
      </c>
      <c r="I64" s="5">
        <f t="shared" si="0"/>
        <v>55975.049999999996</v>
      </c>
    </row>
    <row r="65" spans="1:9" x14ac:dyDescent="0.25">
      <c r="A65">
        <v>63</v>
      </c>
      <c r="B65" t="s">
        <v>33</v>
      </c>
      <c r="C65" t="s">
        <v>101</v>
      </c>
      <c r="D65" t="s">
        <v>32</v>
      </c>
      <c r="E65" t="s">
        <v>85</v>
      </c>
      <c r="F65" t="s">
        <v>104</v>
      </c>
      <c r="G65">
        <v>20</v>
      </c>
      <c r="H65">
        <v>147643.26</v>
      </c>
      <c r="I65" s="5">
        <f t="shared" si="0"/>
        <v>2952865.2</v>
      </c>
    </row>
    <row r="66" spans="1:9" x14ac:dyDescent="0.25">
      <c r="A66">
        <v>64</v>
      </c>
      <c r="B66" t="s">
        <v>36</v>
      </c>
      <c r="C66" t="s">
        <v>101</v>
      </c>
      <c r="D66" t="s">
        <v>30</v>
      </c>
      <c r="E66" t="s">
        <v>92</v>
      </c>
      <c r="F66" t="s">
        <v>100</v>
      </c>
      <c r="G66">
        <v>2</v>
      </c>
      <c r="H66">
        <v>106463.4</v>
      </c>
      <c r="I66" s="5">
        <f t="shared" si="0"/>
        <v>212926.8</v>
      </c>
    </row>
    <row r="67" spans="1:9" x14ac:dyDescent="0.25">
      <c r="A67">
        <v>65</v>
      </c>
      <c r="B67" t="s">
        <v>117</v>
      </c>
      <c r="C67" t="s">
        <v>87</v>
      </c>
      <c r="D67" t="s">
        <v>30</v>
      </c>
      <c r="E67" t="s">
        <v>92</v>
      </c>
      <c r="F67" t="s">
        <v>100</v>
      </c>
      <c r="G67">
        <v>14</v>
      </c>
      <c r="H67">
        <v>10961.08</v>
      </c>
      <c r="I67" s="5">
        <f t="shared" ref="I67:I102" si="1">G67*H67</f>
        <v>153455.12</v>
      </c>
    </row>
    <row r="68" spans="1:9" x14ac:dyDescent="0.25">
      <c r="A68">
        <v>66</v>
      </c>
      <c r="B68" t="s">
        <v>118</v>
      </c>
      <c r="C68" t="s">
        <v>97</v>
      </c>
      <c r="D68" t="s">
        <v>30</v>
      </c>
      <c r="E68" t="s">
        <v>85</v>
      </c>
      <c r="F68" t="s">
        <v>114</v>
      </c>
      <c r="G68">
        <v>10</v>
      </c>
      <c r="H68">
        <v>76314.81</v>
      </c>
      <c r="I68" s="5">
        <f t="shared" si="1"/>
        <v>763148.1</v>
      </c>
    </row>
    <row r="69" spans="1:9" x14ac:dyDescent="0.25">
      <c r="A69">
        <v>67</v>
      </c>
      <c r="B69" t="s">
        <v>119</v>
      </c>
      <c r="C69" t="s">
        <v>101</v>
      </c>
      <c r="D69" t="s">
        <v>32</v>
      </c>
      <c r="E69" t="s">
        <v>95</v>
      </c>
      <c r="F69" t="s">
        <v>102</v>
      </c>
      <c r="G69">
        <v>18</v>
      </c>
      <c r="H69">
        <v>19529.53</v>
      </c>
      <c r="I69" s="5">
        <f t="shared" si="1"/>
        <v>351531.54</v>
      </c>
    </row>
    <row r="70" spans="1:9" x14ac:dyDescent="0.25">
      <c r="A70">
        <v>68</v>
      </c>
      <c r="B70" t="s">
        <v>120</v>
      </c>
      <c r="C70" t="s">
        <v>101</v>
      </c>
      <c r="D70" t="s">
        <v>26</v>
      </c>
      <c r="E70" t="s">
        <v>88</v>
      </c>
      <c r="F70" t="s">
        <v>113</v>
      </c>
      <c r="G70">
        <v>10</v>
      </c>
      <c r="H70">
        <v>61208.24</v>
      </c>
      <c r="I70" s="5">
        <f t="shared" si="1"/>
        <v>612082.4</v>
      </c>
    </row>
    <row r="71" spans="1:9" x14ac:dyDescent="0.25">
      <c r="A71">
        <v>69</v>
      </c>
      <c r="B71" t="s">
        <v>121</v>
      </c>
      <c r="C71" t="s">
        <v>97</v>
      </c>
      <c r="D71" t="s">
        <v>32</v>
      </c>
      <c r="E71" t="s">
        <v>92</v>
      </c>
      <c r="F71" t="s">
        <v>93</v>
      </c>
      <c r="G71">
        <v>19</v>
      </c>
      <c r="H71">
        <v>91195.9</v>
      </c>
      <c r="I71" s="5">
        <f t="shared" si="1"/>
        <v>1732722.0999999999</v>
      </c>
    </row>
    <row r="72" spans="1:9" x14ac:dyDescent="0.25">
      <c r="A72">
        <v>70</v>
      </c>
      <c r="B72" t="s">
        <v>122</v>
      </c>
      <c r="C72" t="s">
        <v>101</v>
      </c>
      <c r="D72" t="s">
        <v>35</v>
      </c>
      <c r="E72" t="s">
        <v>95</v>
      </c>
      <c r="F72" t="s">
        <v>116</v>
      </c>
      <c r="G72">
        <v>17</v>
      </c>
      <c r="H72">
        <v>71241.33</v>
      </c>
      <c r="I72" s="5">
        <f t="shared" si="1"/>
        <v>1211102.6100000001</v>
      </c>
    </row>
    <row r="73" spans="1:9" x14ac:dyDescent="0.25">
      <c r="A73">
        <v>71</v>
      </c>
      <c r="B73" t="s">
        <v>123</v>
      </c>
      <c r="C73" t="s">
        <v>84</v>
      </c>
      <c r="D73" t="s">
        <v>32</v>
      </c>
      <c r="E73" t="s">
        <v>88</v>
      </c>
      <c r="F73" t="s">
        <v>113</v>
      </c>
      <c r="G73">
        <v>11</v>
      </c>
      <c r="H73">
        <v>14461.39</v>
      </c>
      <c r="I73" s="5">
        <f t="shared" si="1"/>
        <v>159075.28999999998</v>
      </c>
    </row>
    <row r="74" spans="1:9" x14ac:dyDescent="0.25">
      <c r="A74">
        <v>72</v>
      </c>
      <c r="B74" t="s">
        <v>124</v>
      </c>
      <c r="C74" t="s">
        <v>97</v>
      </c>
      <c r="D74" t="s">
        <v>26</v>
      </c>
      <c r="E74" t="s">
        <v>92</v>
      </c>
      <c r="F74" t="s">
        <v>107</v>
      </c>
      <c r="G74">
        <v>1</v>
      </c>
      <c r="H74">
        <v>7408.95</v>
      </c>
      <c r="I74" s="5">
        <f t="shared" si="1"/>
        <v>7408.95</v>
      </c>
    </row>
    <row r="75" spans="1:9" x14ac:dyDescent="0.25">
      <c r="A75">
        <v>73</v>
      </c>
      <c r="B75" t="s">
        <v>21</v>
      </c>
      <c r="C75" t="s">
        <v>87</v>
      </c>
      <c r="D75" t="s">
        <v>23</v>
      </c>
      <c r="E75" t="s">
        <v>95</v>
      </c>
      <c r="F75" t="s">
        <v>105</v>
      </c>
      <c r="G75">
        <v>19</v>
      </c>
      <c r="H75">
        <v>29568.07</v>
      </c>
      <c r="I75" s="5">
        <f t="shared" si="1"/>
        <v>561793.32999999996</v>
      </c>
    </row>
    <row r="76" spans="1:9" x14ac:dyDescent="0.25">
      <c r="A76">
        <v>74</v>
      </c>
      <c r="B76" t="s">
        <v>28</v>
      </c>
      <c r="C76" t="s">
        <v>101</v>
      </c>
      <c r="D76" t="s">
        <v>35</v>
      </c>
      <c r="E76" t="s">
        <v>95</v>
      </c>
      <c r="F76" t="s">
        <v>116</v>
      </c>
      <c r="G76">
        <v>5</v>
      </c>
      <c r="H76">
        <v>98580.67</v>
      </c>
      <c r="I76" s="5">
        <f t="shared" si="1"/>
        <v>492903.35</v>
      </c>
    </row>
    <row r="77" spans="1:9" x14ac:dyDescent="0.25">
      <c r="A77">
        <v>75</v>
      </c>
      <c r="B77" t="s">
        <v>33</v>
      </c>
      <c r="C77" t="s">
        <v>84</v>
      </c>
      <c r="D77" t="s">
        <v>35</v>
      </c>
      <c r="E77" t="s">
        <v>92</v>
      </c>
      <c r="F77" t="s">
        <v>107</v>
      </c>
      <c r="G77">
        <v>17</v>
      </c>
      <c r="H77">
        <v>69950.210000000006</v>
      </c>
      <c r="I77" s="5">
        <f t="shared" si="1"/>
        <v>1189153.57</v>
      </c>
    </row>
    <row r="78" spans="1:9" x14ac:dyDescent="0.25">
      <c r="A78">
        <v>76</v>
      </c>
      <c r="B78" t="s">
        <v>36</v>
      </c>
      <c r="C78" t="s">
        <v>90</v>
      </c>
      <c r="D78" t="s">
        <v>23</v>
      </c>
      <c r="E78" t="s">
        <v>95</v>
      </c>
      <c r="F78" t="s">
        <v>116</v>
      </c>
      <c r="G78">
        <v>15</v>
      </c>
      <c r="H78">
        <v>100302.87</v>
      </c>
      <c r="I78" s="5">
        <f t="shared" si="1"/>
        <v>1504543.0499999998</v>
      </c>
    </row>
    <row r="79" spans="1:9" x14ac:dyDescent="0.25">
      <c r="A79">
        <v>77</v>
      </c>
      <c r="B79" t="s">
        <v>117</v>
      </c>
      <c r="C79" t="s">
        <v>87</v>
      </c>
      <c r="D79" t="s">
        <v>32</v>
      </c>
      <c r="E79" t="s">
        <v>95</v>
      </c>
      <c r="F79" t="s">
        <v>98</v>
      </c>
      <c r="G79">
        <v>17</v>
      </c>
      <c r="H79">
        <v>64297.74</v>
      </c>
      <c r="I79" s="5">
        <f t="shared" si="1"/>
        <v>1093061.58</v>
      </c>
    </row>
    <row r="80" spans="1:9" x14ac:dyDescent="0.25">
      <c r="A80">
        <v>78</v>
      </c>
      <c r="B80" t="s">
        <v>118</v>
      </c>
      <c r="C80" t="s">
        <v>101</v>
      </c>
      <c r="D80" t="s">
        <v>26</v>
      </c>
      <c r="E80" t="s">
        <v>95</v>
      </c>
      <c r="F80" t="s">
        <v>105</v>
      </c>
      <c r="G80">
        <v>9</v>
      </c>
      <c r="H80">
        <v>112890.63</v>
      </c>
      <c r="I80" s="5">
        <f t="shared" si="1"/>
        <v>1016015.67</v>
      </c>
    </row>
    <row r="81" spans="1:9" x14ac:dyDescent="0.25">
      <c r="A81">
        <v>79</v>
      </c>
      <c r="B81" t="s">
        <v>119</v>
      </c>
      <c r="C81" t="s">
        <v>97</v>
      </c>
      <c r="D81" t="s">
        <v>30</v>
      </c>
      <c r="E81" t="s">
        <v>95</v>
      </c>
      <c r="F81" t="s">
        <v>116</v>
      </c>
      <c r="G81">
        <v>9</v>
      </c>
      <c r="H81">
        <v>66260.95</v>
      </c>
      <c r="I81" s="5">
        <f t="shared" si="1"/>
        <v>596348.54999999993</v>
      </c>
    </row>
    <row r="82" spans="1:9" x14ac:dyDescent="0.25">
      <c r="A82">
        <v>80</v>
      </c>
      <c r="B82" t="s">
        <v>120</v>
      </c>
      <c r="C82" t="s">
        <v>90</v>
      </c>
      <c r="D82" t="s">
        <v>32</v>
      </c>
      <c r="E82" t="s">
        <v>85</v>
      </c>
      <c r="F82" t="s">
        <v>94</v>
      </c>
      <c r="G82">
        <v>18</v>
      </c>
      <c r="H82">
        <v>12546.36</v>
      </c>
      <c r="I82" s="5">
        <f t="shared" si="1"/>
        <v>225834.48</v>
      </c>
    </row>
    <row r="83" spans="1:9" x14ac:dyDescent="0.25">
      <c r="A83">
        <v>81</v>
      </c>
      <c r="B83" t="s">
        <v>121</v>
      </c>
      <c r="C83" t="s">
        <v>90</v>
      </c>
      <c r="D83" t="s">
        <v>35</v>
      </c>
      <c r="E83" t="s">
        <v>92</v>
      </c>
      <c r="F83" t="s">
        <v>107</v>
      </c>
      <c r="G83">
        <v>3</v>
      </c>
      <c r="H83">
        <v>62522.75</v>
      </c>
      <c r="I83" s="5">
        <f t="shared" si="1"/>
        <v>187568.25</v>
      </c>
    </row>
    <row r="84" spans="1:9" x14ac:dyDescent="0.25">
      <c r="A84">
        <v>82</v>
      </c>
      <c r="B84" t="s">
        <v>122</v>
      </c>
      <c r="C84" t="s">
        <v>87</v>
      </c>
      <c r="D84" t="s">
        <v>35</v>
      </c>
      <c r="E84" t="s">
        <v>95</v>
      </c>
      <c r="F84" t="s">
        <v>96</v>
      </c>
      <c r="G84">
        <v>7</v>
      </c>
      <c r="H84">
        <v>125017.23</v>
      </c>
      <c r="I84" s="5">
        <f t="shared" si="1"/>
        <v>875120.61</v>
      </c>
    </row>
    <row r="85" spans="1:9" x14ac:dyDescent="0.25">
      <c r="A85">
        <v>83</v>
      </c>
      <c r="B85" t="s">
        <v>123</v>
      </c>
      <c r="C85" t="s">
        <v>87</v>
      </c>
      <c r="D85" t="s">
        <v>23</v>
      </c>
      <c r="E85" t="s">
        <v>88</v>
      </c>
      <c r="F85" t="s">
        <v>89</v>
      </c>
      <c r="G85">
        <v>16</v>
      </c>
      <c r="H85">
        <v>1381.46</v>
      </c>
      <c r="I85" s="5">
        <f t="shared" si="1"/>
        <v>22103.360000000001</v>
      </c>
    </row>
    <row r="86" spans="1:9" x14ac:dyDescent="0.25">
      <c r="A86">
        <v>84</v>
      </c>
      <c r="B86" t="s">
        <v>124</v>
      </c>
      <c r="C86" t="s">
        <v>97</v>
      </c>
      <c r="D86" t="s">
        <v>35</v>
      </c>
      <c r="E86" t="s">
        <v>95</v>
      </c>
      <c r="F86" t="s">
        <v>98</v>
      </c>
      <c r="G86">
        <v>18</v>
      </c>
      <c r="H86">
        <v>120080.29</v>
      </c>
      <c r="I86" s="5">
        <f t="shared" si="1"/>
        <v>2161445.2199999997</v>
      </c>
    </row>
    <row r="87" spans="1:9" x14ac:dyDescent="0.25">
      <c r="A87">
        <v>85</v>
      </c>
      <c r="B87" t="s">
        <v>21</v>
      </c>
      <c r="C87" t="s">
        <v>101</v>
      </c>
      <c r="D87" t="s">
        <v>26</v>
      </c>
      <c r="E87" t="s">
        <v>85</v>
      </c>
      <c r="F87" t="s">
        <v>104</v>
      </c>
      <c r="G87">
        <v>16</v>
      </c>
      <c r="H87">
        <v>4839.21</v>
      </c>
      <c r="I87" s="5">
        <f t="shared" si="1"/>
        <v>77427.360000000001</v>
      </c>
    </row>
    <row r="88" spans="1:9" x14ac:dyDescent="0.25">
      <c r="A88">
        <v>86</v>
      </c>
      <c r="B88" t="s">
        <v>28</v>
      </c>
      <c r="C88" t="s">
        <v>101</v>
      </c>
      <c r="D88" t="s">
        <v>26</v>
      </c>
      <c r="E88" t="s">
        <v>95</v>
      </c>
      <c r="F88" t="s">
        <v>116</v>
      </c>
      <c r="G88">
        <v>20</v>
      </c>
      <c r="H88">
        <v>80351.48</v>
      </c>
      <c r="I88" s="5">
        <f t="shared" si="1"/>
        <v>1607029.5999999999</v>
      </c>
    </row>
    <row r="89" spans="1:9" x14ac:dyDescent="0.25">
      <c r="A89">
        <v>87</v>
      </c>
      <c r="B89" t="s">
        <v>33</v>
      </c>
      <c r="C89" t="s">
        <v>87</v>
      </c>
      <c r="D89" t="s">
        <v>30</v>
      </c>
      <c r="E89" t="s">
        <v>108</v>
      </c>
      <c r="F89" t="s">
        <v>111</v>
      </c>
      <c r="G89">
        <v>14</v>
      </c>
      <c r="H89">
        <v>20787.07</v>
      </c>
      <c r="I89" s="5">
        <f t="shared" si="1"/>
        <v>291018.98</v>
      </c>
    </row>
    <row r="90" spans="1:9" x14ac:dyDescent="0.25">
      <c r="A90">
        <v>88</v>
      </c>
      <c r="B90" t="s">
        <v>36</v>
      </c>
      <c r="C90" t="s">
        <v>90</v>
      </c>
      <c r="D90" t="s">
        <v>23</v>
      </c>
      <c r="E90" t="s">
        <v>85</v>
      </c>
      <c r="F90" t="s">
        <v>104</v>
      </c>
      <c r="G90">
        <v>11</v>
      </c>
      <c r="H90">
        <v>32143.21</v>
      </c>
      <c r="I90" s="5">
        <f t="shared" si="1"/>
        <v>353575.31</v>
      </c>
    </row>
    <row r="91" spans="1:9" x14ac:dyDescent="0.25">
      <c r="A91">
        <v>89</v>
      </c>
      <c r="B91" t="s">
        <v>117</v>
      </c>
      <c r="C91" t="s">
        <v>97</v>
      </c>
      <c r="D91" t="s">
        <v>35</v>
      </c>
      <c r="E91" t="s">
        <v>85</v>
      </c>
      <c r="F91" t="s">
        <v>104</v>
      </c>
      <c r="G91">
        <v>9</v>
      </c>
      <c r="H91">
        <v>125319.18</v>
      </c>
      <c r="I91" s="5">
        <f t="shared" si="1"/>
        <v>1127872.6199999999</v>
      </c>
    </row>
    <row r="92" spans="1:9" x14ac:dyDescent="0.25">
      <c r="A92">
        <v>90</v>
      </c>
      <c r="B92" t="s">
        <v>118</v>
      </c>
      <c r="C92" t="s">
        <v>84</v>
      </c>
      <c r="D92" t="s">
        <v>30</v>
      </c>
      <c r="E92" t="s">
        <v>108</v>
      </c>
      <c r="F92" t="s">
        <v>115</v>
      </c>
      <c r="G92">
        <v>8</v>
      </c>
      <c r="H92">
        <v>97696.54</v>
      </c>
      <c r="I92" s="5">
        <f t="shared" si="1"/>
        <v>781572.32</v>
      </c>
    </row>
    <row r="93" spans="1:9" x14ac:dyDescent="0.25">
      <c r="A93">
        <v>91</v>
      </c>
      <c r="B93" t="s">
        <v>119</v>
      </c>
      <c r="C93" t="s">
        <v>84</v>
      </c>
      <c r="D93" t="s">
        <v>23</v>
      </c>
      <c r="E93" t="s">
        <v>92</v>
      </c>
      <c r="F93" t="s">
        <v>107</v>
      </c>
      <c r="G93">
        <v>1</v>
      </c>
      <c r="H93">
        <v>93389.68</v>
      </c>
      <c r="I93" s="5">
        <f t="shared" si="1"/>
        <v>93389.68</v>
      </c>
    </row>
    <row r="94" spans="1:9" x14ac:dyDescent="0.25">
      <c r="A94">
        <v>92</v>
      </c>
      <c r="B94" t="s">
        <v>120</v>
      </c>
      <c r="C94" t="s">
        <v>90</v>
      </c>
      <c r="D94" t="s">
        <v>35</v>
      </c>
      <c r="E94" t="s">
        <v>108</v>
      </c>
      <c r="F94" t="s">
        <v>109</v>
      </c>
      <c r="G94">
        <v>7</v>
      </c>
      <c r="H94">
        <v>70022.58</v>
      </c>
      <c r="I94" s="5">
        <f t="shared" si="1"/>
        <v>490158.06</v>
      </c>
    </row>
    <row r="95" spans="1:9" x14ac:dyDescent="0.25">
      <c r="A95">
        <v>93</v>
      </c>
      <c r="B95" t="s">
        <v>121</v>
      </c>
      <c r="C95" t="s">
        <v>97</v>
      </c>
      <c r="D95" t="s">
        <v>26</v>
      </c>
      <c r="E95" t="s">
        <v>88</v>
      </c>
      <c r="F95" t="s">
        <v>113</v>
      </c>
      <c r="G95">
        <v>4</v>
      </c>
      <c r="H95">
        <v>116779.89</v>
      </c>
      <c r="I95" s="5">
        <f t="shared" si="1"/>
        <v>467119.56</v>
      </c>
    </row>
    <row r="96" spans="1:9" x14ac:dyDescent="0.25">
      <c r="A96">
        <v>94</v>
      </c>
      <c r="B96" t="s">
        <v>122</v>
      </c>
      <c r="C96" t="s">
        <v>97</v>
      </c>
      <c r="D96" t="s">
        <v>23</v>
      </c>
      <c r="E96" t="s">
        <v>88</v>
      </c>
      <c r="F96" t="s">
        <v>91</v>
      </c>
      <c r="G96">
        <v>10</v>
      </c>
      <c r="H96">
        <v>86581.61</v>
      </c>
      <c r="I96" s="5">
        <f t="shared" si="1"/>
        <v>865816.1</v>
      </c>
    </row>
    <row r="97" spans="1:11" x14ac:dyDescent="0.25">
      <c r="A97">
        <v>95</v>
      </c>
      <c r="B97" t="s">
        <v>123</v>
      </c>
      <c r="C97" t="s">
        <v>101</v>
      </c>
      <c r="D97" t="s">
        <v>26</v>
      </c>
      <c r="E97" t="s">
        <v>108</v>
      </c>
      <c r="F97" t="s">
        <v>109</v>
      </c>
      <c r="G97">
        <v>8</v>
      </c>
      <c r="H97">
        <v>15734.25</v>
      </c>
      <c r="I97" s="5">
        <f t="shared" si="1"/>
        <v>125874</v>
      </c>
    </row>
    <row r="98" spans="1:11" x14ac:dyDescent="0.25">
      <c r="A98">
        <v>96</v>
      </c>
      <c r="B98" t="s">
        <v>124</v>
      </c>
      <c r="C98" t="s">
        <v>87</v>
      </c>
      <c r="D98" t="s">
        <v>23</v>
      </c>
      <c r="E98" t="s">
        <v>88</v>
      </c>
      <c r="F98" t="s">
        <v>91</v>
      </c>
      <c r="G98">
        <v>12</v>
      </c>
      <c r="H98">
        <v>80145.41</v>
      </c>
      <c r="I98" s="5">
        <f t="shared" si="1"/>
        <v>961744.92</v>
      </c>
    </row>
    <row r="99" spans="1:11" x14ac:dyDescent="0.25">
      <c r="A99">
        <v>97</v>
      </c>
      <c r="B99" t="s">
        <v>21</v>
      </c>
      <c r="C99" t="s">
        <v>97</v>
      </c>
      <c r="D99" t="s">
        <v>23</v>
      </c>
      <c r="E99" t="s">
        <v>88</v>
      </c>
      <c r="F99" t="s">
        <v>106</v>
      </c>
      <c r="G99">
        <v>1</v>
      </c>
      <c r="H99">
        <v>127511.56</v>
      </c>
      <c r="I99" s="5">
        <f t="shared" si="1"/>
        <v>127511.56</v>
      </c>
    </row>
    <row r="100" spans="1:11" x14ac:dyDescent="0.25">
      <c r="A100">
        <v>98</v>
      </c>
      <c r="B100" t="s">
        <v>28</v>
      </c>
      <c r="C100" t="s">
        <v>84</v>
      </c>
      <c r="D100" t="s">
        <v>35</v>
      </c>
      <c r="E100" t="s">
        <v>85</v>
      </c>
      <c r="F100" t="s">
        <v>104</v>
      </c>
      <c r="G100">
        <v>5</v>
      </c>
      <c r="H100">
        <v>65605.33</v>
      </c>
      <c r="I100" s="5">
        <f t="shared" si="1"/>
        <v>328026.65000000002</v>
      </c>
    </row>
    <row r="101" spans="1:11" x14ac:dyDescent="0.25">
      <c r="A101">
        <v>99</v>
      </c>
      <c r="B101" t="s">
        <v>33</v>
      </c>
      <c r="C101" t="s">
        <v>97</v>
      </c>
      <c r="D101" t="s">
        <v>30</v>
      </c>
      <c r="E101" t="s">
        <v>88</v>
      </c>
      <c r="F101" t="s">
        <v>89</v>
      </c>
      <c r="G101">
        <v>15</v>
      </c>
      <c r="H101">
        <v>65618.39</v>
      </c>
      <c r="I101" s="5">
        <f t="shared" si="1"/>
        <v>984275.85</v>
      </c>
    </row>
    <row r="102" spans="1:11" x14ac:dyDescent="0.25">
      <c r="A102">
        <v>100</v>
      </c>
      <c r="B102" t="s">
        <v>36</v>
      </c>
      <c r="C102" t="s">
        <v>97</v>
      </c>
      <c r="D102" t="s">
        <v>32</v>
      </c>
      <c r="E102" t="s">
        <v>92</v>
      </c>
      <c r="F102" t="s">
        <v>110</v>
      </c>
      <c r="G102">
        <v>9</v>
      </c>
      <c r="H102">
        <v>132303.85999999999</v>
      </c>
      <c r="I102" s="5">
        <f t="shared" si="1"/>
        <v>1190734.7399999998</v>
      </c>
    </row>
    <row r="103" spans="1:11" x14ac:dyDescent="0.25">
      <c r="I103" s="20">
        <f>SUM(I3:I102)</f>
        <v>65146246.390000001</v>
      </c>
      <c r="J103" s="20">
        <f>MIN(I3:I102)</f>
        <v>7408.95</v>
      </c>
      <c r="K103" s="20">
        <f>MAX(I3:I102)</f>
        <v>2952865.2</v>
      </c>
    </row>
  </sheetData>
  <mergeCells count="1">
    <mergeCell ref="A1:I1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"/>
  <sheetViews>
    <sheetView workbookViewId="0"/>
  </sheetViews>
  <sheetFormatPr defaultRowHeight="15" x14ac:dyDescent="0.25"/>
  <cols>
    <col min="1" max="2" width="28" customWidth="1"/>
    <col min="3" max="3" width="18" customWidth="1"/>
    <col min="4" max="4" width="46" customWidth="1"/>
    <col min="5" max="5" width="3" customWidth="1"/>
    <col min="6" max="6" width="12" customWidth="1"/>
    <col min="7" max="8" width="14" customWidth="1"/>
    <col min="9" max="9" width="18" customWidth="1"/>
    <col min="10" max="10" width="14" customWidth="1"/>
    <col min="11" max="11" width="18" customWidth="1"/>
    <col min="12" max="12" width="10" customWidth="1"/>
    <col min="13" max="14" width="12" customWidth="1"/>
  </cols>
  <sheetData>
    <row r="1" spans="1:14" ht="21.95" customHeight="1" x14ac:dyDescent="0.25">
      <c r="A1" s="21" t="s">
        <v>37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21.95" customHeight="1" x14ac:dyDescent="0.25"/>
    <row r="3" spans="1:14" ht="21.95" customHeight="1" x14ac:dyDescent="0.25">
      <c r="A3" s="6" t="s">
        <v>38</v>
      </c>
      <c r="B3" s="6" t="s">
        <v>39</v>
      </c>
      <c r="C3" s="4" t="s">
        <v>40</v>
      </c>
      <c r="D3" s="6" t="s">
        <v>41</v>
      </c>
      <c r="E3" s="3"/>
      <c r="F3" s="7" t="s">
        <v>42</v>
      </c>
      <c r="G3" s="1"/>
      <c r="H3" s="3"/>
      <c r="I3" s="3"/>
      <c r="J3" s="3"/>
      <c r="K3" s="3"/>
      <c r="L3" s="3"/>
      <c r="M3" s="3"/>
      <c r="N3" s="3"/>
    </row>
    <row r="4" spans="1:14" ht="21.95" customHeight="1" x14ac:dyDescent="0.25">
      <c r="A4" s="1" t="s">
        <v>43</v>
      </c>
      <c r="B4" s="8">
        <f>COUNTA(sales_data!A3:A14)</f>
        <v>12</v>
      </c>
      <c r="C4" s="5">
        <f>COUNTA(sales_data!A3:A14)</f>
        <v>12</v>
      </c>
      <c r="D4" s="1" t="s">
        <v>44</v>
      </c>
      <c r="E4" s="3"/>
      <c r="F4" s="6" t="s">
        <v>12</v>
      </c>
      <c r="G4" s="6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</row>
    <row r="5" spans="1:14" ht="21.95" customHeight="1" x14ac:dyDescent="0.25">
      <c r="A5" s="1" t="s">
        <v>45</v>
      </c>
      <c r="B5" s="8">
        <f>SUM(sales_data!I3:I14)</f>
        <v>8354155.7799999993</v>
      </c>
      <c r="C5" s="5">
        <f>SUM(sales_data!I3:I14)</f>
        <v>8354155.7799999993</v>
      </c>
      <c r="D5" s="1" t="s">
        <v>46</v>
      </c>
      <c r="E5" s="3"/>
      <c r="F5" s="1">
        <f>sales_data!A3</f>
        <v>1</v>
      </c>
      <c r="G5" s="1" t="str">
        <f>sales_data!B3</f>
        <v>Январь</v>
      </c>
      <c r="H5" s="3" t="str">
        <f>sales_data!C3</f>
        <v>Иванов А.С.</v>
      </c>
      <c r="I5" s="3" t="str">
        <f>sales_data!D3</f>
        <v>Москва</v>
      </c>
      <c r="J5" s="3" t="str">
        <f>sales_data!E3</f>
        <v>Офисная мебель</v>
      </c>
      <c r="K5" s="3" t="str">
        <f>sales_data!F3</f>
        <v>Кресло</v>
      </c>
      <c r="L5" s="3">
        <f>sales_data!G3</f>
        <v>8</v>
      </c>
      <c r="M5" s="3">
        <f>sales_data!H3</f>
        <v>21360.92</v>
      </c>
      <c r="N5" s="3">
        <f>sales_data!I3</f>
        <v>170887.36</v>
      </c>
    </row>
    <row r="6" spans="1:14" ht="21.95" customHeight="1" x14ac:dyDescent="0.25">
      <c r="A6" s="1" t="s">
        <v>47</v>
      </c>
      <c r="B6" s="8">
        <f>AVERAGE(sales_data!I3:I14)</f>
        <v>696179.64833333332</v>
      </c>
      <c r="C6" s="5">
        <f>AVERAGE(sales_data!I3:I14)</f>
        <v>696179.64833333332</v>
      </c>
      <c r="D6" s="1" t="s">
        <v>48</v>
      </c>
      <c r="E6" s="3"/>
      <c r="F6" s="1">
        <f>sales_data!A4</f>
        <v>2</v>
      </c>
      <c r="G6" s="1" t="str">
        <f>sales_data!B4</f>
        <v>Февраль</v>
      </c>
      <c r="H6" s="3" t="str">
        <f>sales_data!C4</f>
        <v>Смирнова О.В.</v>
      </c>
      <c r="I6" s="3" t="str">
        <f>sales_data!D4</f>
        <v>Москва</v>
      </c>
      <c r="J6" s="3" t="str">
        <f>sales_data!E4</f>
        <v>Расходные материалы</v>
      </c>
      <c r="K6" s="3" t="str">
        <f>sales_data!F4</f>
        <v>Кабель HDMI</v>
      </c>
      <c r="L6" s="3">
        <f>sales_data!G4</f>
        <v>2</v>
      </c>
      <c r="M6" s="3">
        <f>sales_data!H4</f>
        <v>4954.68</v>
      </c>
      <c r="N6" s="3">
        <f>sales_data!I4</f>
        <v>9909.36</v>
      </c>
    </row>
    <row r="7" spans="1:14" ht="21.95" customHeight="1" x14ac:dyDescent="0.25">
      <c r="A7" s="1" t="s">
        <v>49</v>
      </c>
      <c r="B7" s="8">
        <f>MAX(sales_data!I3:I14)</f>
        <v>1971080.28</v>
      </c>
      <c r="C7" s="5">
        <f>MAX(sales_data!I3:I14)</f>
        <v>1971080.28</v>
      </c>
      <c r="D7" s="1" t="s">
        <v>50</v>
      </c>
      <c r="E7" s="3"/>
      <c r="F7" s="1">
        <f>sales_data!A5</f>
        <v>3</v>
      </c>
      <c r="G7" s="1" t="str">
        <f>sales_data!B5</f>
        <v>Март</v>
      </c>
      <c r="H7" s="3" t="str">
        <f>sales_data!C5</f>
        <v>Петров В.Д.</v>
      </c>
      <c r="I7" s="3" t="str">
        <f>sales_data!D5</f>
        <v>Казань</v>
      </c>
      <c r="J7" s="3" t="str">
        <f>sales_data!E5</f>
        <v>Расходные материалы</v>
      </c>
      <c r="K7" s="3" t="str">
        <f>sales_data!F5</f>
        <v>Картридж</v>
      </c>
      <c r="L7" s="3">
        <f>sales_data!G5</f>
        <v>18</v>
      </c>
      <c r="M7" s="3">
        <f>sales_data!H5</f>
        <v>30226.23</v>
      </c>
      <c r="N7" s="3">
        <f>sales_data!I5</f>
        <v>544072.14</v>
      </c>
    </row>
    <row r="8" spans="1:14" ht="21.95" customHeight="1" x14ac:dyDescent="0.25">
      <c r="A8" s="1" t="s">
        <v>51</v>
      </c>
      <c r="B8" s="8">
        <f>MIN(sales_data!I3:I14)</f>
        <v>9909.36</v>
      </c>
      <c r="C8" s="5">
        <f>MIN(sales_data!I3:I14)</f>
        <v>9909.36</v>
      </c>
      <c r="D8" s="1" t="s">
        <v>52</v>
      </c>
      <c r="E8" s="3"/>
      <c r="F8" s="1">
        <f>sales_data!A6</f>
        <v>4</v>
      </c>
      <c r="G8" s="1" t="str">
        <f>sales_data!B6</f>
        <v>Апрель</v>
      </c>
      <c r="H8" s="3" t="str">
        <f>sales_data!C6</f>
        <v>Смирнова О.В.</v>
      </c>
      <c r="I8" s="3" t="str">
        <f>sales_data!D6</f>
        <v>Екатеринбург</v>
      </c>
      <c r="J8" s="3" t="str">
        <f>sales_data!E6</f>
        <v>Бытовая техника</v>
      </c>
      <c r="K8" s="3" t="str">
        <f>sales_data!F6</f>
        <v>Пылесос</v>
      </c>
      <c r="L8" s="3">
        <f>sales_data!G6</f>
        <v>19</v>
      </c>
      <c r="M8" s="3">
        <f>sales_data!H6</f>
        <v>42089.51</v>
      </c>
      <c r="N8" s="3">
        <f>sales_data!I6</f>
        <v>799700.69000000006</v>
      </c>
    </row>
    <row r="9" spans="1:14" ht="21.95" customHeight="1" x14ac:dyDescent="0.25">
      <c r="A9" s="1"/>
      <c r="B9" s="1"/>
      <c r="C9" s="3"/>
      <c r="D9" s="1"/>
      <c r="E9" s="3"/>
      <c r="F9" s="1">
        <f>sales_data!A7</f>
        <v>5</v>
      </c>
      <c r="G9" s="1" t="str">
        <f>sales_data!B7</f>
        <v>Май</v>
      </c>
      <c r="H9" s="3" t="str">
        <f>sales_data!C7</f>
        <v>Петров В.Д.</v>
      </c>
      <c r="I9" s="3" t="str">
        <f>sales_data!D7</f>
        <v>Екатеринбург</v>
      </c>
      <c r="J9" s="3" t="str">
        <f>sales_data!E7</f>
        <v>Офисная мебель</v>
      </c>
      <c r="K9" s="3" t="str">
        <f>sales_data!F7</f>
        <v>Шкаф</v>
      </c>
      <c r="L9" s="3">
        <f>sales_data!G7</f>
        <v>5</v>
      </c>
      <c r="M9" s="3">
        <f>sales_data!H7</f>
        <v>32689.41</v>
      </c>
      <c r="N9" s="3">
        <f>sales_data!I7</f>
        <v>163447.04999999999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workbookViewId="0"/>
  </sheetViews>
  <sheetFormatPr defaultRowHeight="15" x14ac:dyDescent="0.25"/>
  <cols>
    <col min="1" max="2" width="16" customWidth="1"/>
    <col min="3" max="3" width="12" customWidth="1"/>
    <col min="4" max="4" width="14" customWidth="1"/>
    <col min="5" max="5" width="16" customWidth="1"/>
    <col min="6" max="6" width="3" customWidth="1"/>
    <col min="7" max="9" width="14" customWidth="1"/>
    <col min="10" max="10" width="12" customWidth="1"/>
  </cols>
  <sheetData>
    <row r="1" spans="1:10" ht="21.95" customHeight="1" x14ac:dyDescent="0.25">
      <c r="A1" s="21" t="s">
        <v>53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1.95" customHeight="1" x14ac:dyDescent="0.25"/>
    <row r="3" spans="1:10" ht="21.95" customHeight="1" x14ac:dyDescent="0.25">
      <c r="A3" s="6" t="s">
        <v>14</v>
      </c>
      <c r="B3" s="6" t="s">
        <v>54</v>
      </c>
      <c r="C3" s="4" t="s">
        <v>55</v>
      </c>
      <c r="D3" s="6" t="s">
        <v>56</v>
      </c>
      <c r="E3" s="4" t="s">
        <v>57</v>
      </c>
      <c r="F3" s="1"/>
      <c r="G3" s="7" t="s">
        <v>58</v>
      </c>
      <c r="H3" s="3"/>
      <c r="I3" s="3"/>
      <c r="J3" s="3"/>
    </row>
    <row r="4" spans="1:10" ht="21.95" customHeight="1" x14ac:dyDescent="0.25">
      <c r="A4" s="1" t="s">
        <v>22</v>
      </c>
      <c r="B4" s="9">
        <f>SUMIFS(sales_data!$I$3:$I$14,sales_data!$C$3:$C$14,$A4)</f>
        <v>0</v>
      </c>
      <c r="C4" s="10">
        <f>COUNTIF(sales_data!$C$3:$C$14,$A4)</f>
        <v>0</v>
      </c>
      <c r="D4" s="9">
        <f>SUMIFS(sales_data!$G$3:$G$14,sales_data!$C$3:$C$14,$A4)</f>
        <v>0</v>
      </c>
      <c r="E4" s="5" t="e">
        <f>B4/C4</f>
        <v>#DIV/0!</v>
      </c>
      <c r="F4" s="1"/>
      <c r="G4" s="6" t="s">
        <v>13</v>
      </c>
      <c r="H4" s="4" t="s">
        <v>14</v>
      </c>
      <c r="I4" s="4" t="s">
        <v>16</v>
      </c>
      <c r="J4" s="4" t="s">
        <v>20</v>
      </c>
    </row>
    <row r="5" spans="1:10" ht="21.95" customHeight="1" x14ac:dyDescent="0.25">
      <c r="A5" s="1" t="s">
        <v>25</v>
      </c>
      <c r="B5" s="9">
        <f>SUMIFS(sales_data!$I$3:$I$14,sales_data!$C$3:$C$14,$A5)</f>
        <v>0</v>
      </c>
      <c r="C5" s="10">
        <f>COUNTIF(sales_data!$C$3:$C$14,$A5)</f>
        <v>0</v>
      </c>
      <c r="D5" s="9">
        <f>SUMIFS(sales_data!$G$3:$G$14,sales_data!$C$3:$C$14,$A5)</f>
        <v>0</v>
      </c>
      <c r="E5" s="5" t="e">
        <f>B5/C5</f>
        <v>#DIV/0!</v>
      </c>
      <c r="F5" s="1"/>
      <c r="G5" s="1" t="str">
        <f>sales_data!B3</f>
        <v>Январь</v>
      </c>
      <c r="H5" s="3" t="str">
        <f>sales_data!C3</f>
        <v>Иванов А.С.</v>
      </c>
      <c r="I5" s="3" t="str">
        <f>sales_data!E3</f>
        <v>Офисная мебель</v>
      </c>
      <c r="J5" s="3">
        <f>sales_data!I3</f>
        <v>170887.36</v>
      </c>
    </row>
    <row r="6" spans="1:10" ht="21.95" customHeight="1" x14ac:dyDescent="0.25">
      <c r="A6" s="1" t="s">
        <v>29</v>
      </c>
      <c r="B6" s="9">
        <f>SUMIFS(sales_data!$I$3:$I$14,sales_data!$C$3:$C$14,$A6)</f>
        <v>0</v>
      </c>
      <c r="C6" s="10">
        <f>COUNTIF(sales_data!$C$3:$C$14,$A6)</f>
        <v>0</v>
      </c>
      <c r="D6" s="9">
        <f>SUMIFS(sales_data!$G$3:$G$14,sales_data!$C$3:$C$14,$A6)</f>
        <v>0</v>
      </c>
      <c r="E6" s="5" t="e">
        <f>B6/C6</f>
        <v>#DIV/0!</v>
      </c>
      <c r="F6" s="1"/>
      <c r="G6" s="1" t="str">
        <f>sales_data!B4</f>
        <v>Февраль</v>
      </c>
      <c r="H6" s="3" t="str">
        <f>sales_data!C4</f>
        <v>Смирнова О.В.</v>
      </c>
      <c r="I6" s="3" t="str">
        <f>sales_data!E4</f>
        <v>Расходные материалы</v>
      </c>
      <c r="J6" s="3">
        <f>sales_data!I4</f>
        <v>9909.36</v>
      </c>
    </row>
    <row r="7" spans="1:10" ht="21.95" customHeight="1" x14ac:dyDescent="0.25">
      <c r="A7" s="1"/>
      <c r="B7" s="1"/>
      <c r="C7" s="3"/>
      <c r="D7" s="1"/>
      <c r="E7" s="3"/>
      <c r="F7" s="1"/>
      <c r="G7" s="1" t="str">
        <f>sales_data!B5</f>
        <v>Март</v>
      </c>
      <c r="H7" s="3" t="str">
        <f>sales_data!C5</f>
        <v>Петров В.Д.</v>
      </c>
      <c r="I7" s="3" t="str">
        <f>sales_data!E5</f>
        <v>Расходные материалы</v>
      </c>
      <c r="J7" s="3">
        <f>sales_data!I5</f>
        <v>544072.14</v>
      </c>
    </row>
    <row r="8" spans="1:10" ht="21.95" customHeight="1" x14ac:dyDescent="0.25">
      <c r="A8" s="1"/>
      <c r="B8" s="1"/>
      <c r="C8" s="3"/>
      <c r="D8" s="1"/>
      <c r="E8" s="3"/>
      <c r="F8" s="1"/>
      <c r="G8" s="1" t="str">
        <f>sales_data!B6</f>
        <v>Апрель</v>
      </c>
      <c r="H8" s="3" t="str">
        <f>sales_data!C6</f>
        <v>Смирнова О.В.</v>
      </c>
      <c r="I8" s="3" t="str">
        <f>sales_data!E6</f>
        <v>Бытовая техника</v>
      </c>
      <c r="J8" s="3">
        <f>sales_data!I6</f>
        <v>799700.69000000006</v>
      </c>
    </row>
    <row r="9" spans="1:10" ht="21.95" customHeight="1" x14ac:dyDescent="0.25">
      <c r="A9" s="1"/>
      <c r="B9" s="1"/>
      <c r="C9" s="3"/>
      <c r="D9" s="1"/>
      <c r="E9" s="3"/>
      <c r="F9" s="1"/>
      <c r="G9" s="1" t="str">
        <f>sales_data!B7</f>
        <v>Май</v>
      </c>
      <c r="H9" s="3" t="str">
        <f>sales_data!C7</f>
        <v>Петров В.Д.</v>
      </c>
      <c r="I9" s="3" t="str">
        <f>sales_data!E7</f>
        <v>Офисная мебель</v>
      </c>
      <c r="J9" s="3">
        <f>sales_data!I7</f>
        <v>163447.04999999999</v>
      </c>
    </row>
    <row r="10" spans="1:10" ht="21.95" customHeight="1" x14ac:dyDescent="0.25">
      <c r="A10" s="1"/>
      <c r="B10" s="1"/>
      <c r="C10" s="3"/>
      <c r="D10" s="1"/>
      <c r="E10" s="3"/>
      <c r="F10" s="1"/>
      <c r="G10" s="1" t="str">
        <f>sales_data!B8</f>
        <v>Июнь</v>
      </c>
      <c r="H10" s="3" t="str">
        <f>sales_data!C8</f>
        <v>Иванов А.С.</v>
      </c>
      <c r="I10" s="3" t="str">
        <f>sales_data!E8</f>
        <v>Канцелярия</v>
      </c>
      <c r="J10" s="3">
        <f>sales_data!I8</f>
        <v>1526404.92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workbookViewId="0"/>
  </sheetViews>
  <sheetFormatPr defaultRowHeight="15" x14ac:dyDescent="0.25"/>
  <cols>
    <col min="1" max="4" width="14" customWidth="1"/>
    <col min="5" max="5" width="10" customWidth="1"/>
    <col min="6" max="6" width="3" customWidth="1"/>
    <col min="7" max="7" width="14" customWidth="1"/>
    <col min="8" max="11" width="12" customWidth="1"/>
  </cols>
  <sheetData>
    <row r="1" spans="1:11" ht="21.95" customHeight="1" x14ac:dyDescent="0.25">
      <c r="A1" s="21" t="s">
        <v>59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21.95" customHeight="1" x14ac:dyDescent="0.25"/>
    <row r="3" spans="1:11" ht="21.95" customHeight="1" x14ac:dyDescent="0.25">
      <c r="A3" s="6" t="s">
        <v>13</v>
      </c>
      <c r="B3" s="6" t="s">
        <v>16</v>
      </c>
      <c r="C3" s="4" t="s">
        <v>54</v>
      </c>
      <c r="D3" s="6" t="s">
        <v>56</v>
      </c>
      <c r="E3" s="4" t="s">
        <v>55</v>
      </c>
      <c r="F3" s="1"/>
      <c r="G3" s="7" t="s">
        <v>60</v>
      </c>
      <c r="H3" s="3"/>
      <c r="I3" s="3"/>
      <c r="J3" s="3"/>
      <c r="K3" s="3"/>
    </row>
    <row r="4" spans="1:11" ht="21.95" customHeight="1" x14ac:dyDescent="0.25">
      <c r="A4" s="1" t="s">
        <v>21</v>
      </c>
      <c r="B4" s="1" t="s">
        <v>24</v>
      </c>
      <c r="C4" s="11">
        <f>SUMIFS(sales_data!$I$3:$I$14,sales_data!$B$3:$B$14,$A4,sales_data!$E$3:$E$14,$B4)</f>
        <v>0</v>
      </c>
      <c r="D4" s="12">
        <f>SUMIFS(sales_data!$G$3:$G$14,sales_data!$B$3:$B$14,$A4,sales_data!$E$3:$E$14,$B4)</f>
        <v>0</v>
      </c>
      <c r="E4" s="3">
        <f>COUNTIFS(sales_data!$B$3:$B$14,$A4,sales_data!$E$3:$E$14,$B4)</f>
        <v>0</v>
      </c>
      <c r="F4" s="1"/>
      <c r="G4" s="1"/>
      <c r="H4" s="4" t="s">
        <v>24</v>
      </c>
      <c r="I4" s="4" t="s">
        <v>27</v>
      </c>
      <c r="J4" s="4" t="s">
        <v>31</v>
      </c>
      <c r="K4" s="4" t="s">
        <v>34</v>
      </c>
    </row>
    <row r="5" spans="1:11" ht="21.95" customHeight="1" x14ac:dyDescent="0.25">
      <c r="A5" s="1" t="s">
        <v>21</v>
      </c>
      <c r="B5" s="1" t="s">
        <v>27</v>
      </c>
      <c r="C5" s="11">
        <f>SUMIFS(sales_data!$I$3:$I$14,sales_data!$B$3:$B$14,$A5,sales_data!$E$3:$E$14,$B5)</f>
        <v>0</v>
      </c>
      <c r="D5" s="12">
        <f>SUMIFS(sales_data!$G$3:$G$14,sales_data!$B$3:$B$14,$A5,sales_data!$E$3:$E$14,$B5)</f>
        <v>0</v>
      </c>
      <c r="E5" s="3">
        <f>COUNTIFS(sales_data!$B$3:$B$14,$A5,sales_data!$E$3:$E$14,$B5)</f>
        <v>0</v>
      </c>
      <c r="F5" s="1"/>
      <c r="G5" s="6" t="s">
        <v>21</v>
      </c>
      <c r="H5" s="11">
        <f>SUMIFS(sales_data!$I$3:$I$14,sales_data!$B$3:$B$14,$G5,sales_data!$E$3:$E$14,H$4)</f>
        <v>0</v>
      </c>
      <c r="I5" s="11">
        <f>SUMIFS(sales_data!$I$3:$I$14,sales_data!$B$3:$B$14,$G5,sales_data!$E$3:$E$14,I$4)</f>
        <v>0</v>
      </c>
      <c r="J5" s="11">
        <f>SUMIFS(sales_data!$I$3:$I$14,sales_data!$B$3:$B$14,$G5,sales_data!$E$3:$E$14,J$4)</f>
        <v>0</v>
      </c>
      <c r="K5" s="11">
        <f>SUMIFS(sales_data!$I$3:$I$14,sales_data!$B$3:$B$14,$G5,sales_data!$E$3:$E$14,K$4)</f>
        <v>0</v>
      </c>
    </row>
    <row r="6" spans="1:11" ht="21.95" customHeight="1" x14ac:dyDescent="0.25">
      <c r="A6" s="1" t="s">
        <v>28</v>
      </c>
      <c r="B6" s="1" t="s">
        <v>27</v>
      </c>
      <c r="C6" s="11">
        <f>SUMIFS(sales_data!$I$3:$I$14,sales_data!$B$3:$B$14,$A6,sales_data!$E$3:$E$14,$B6)</f>
        <v>0</v>
      </c>
      <c r="D6" s="12">
        <f>SUMIFS(sales_data!$G$3:$G$14,sales_data!$B$3:$B$14,$A6,sales_data!$E$3:$E$14,$B6)</f>
        <v>0</v>
      </c>
      <c r="E6" s="3">
        <f>COUNTIFS(sales_data!$B$3:$B$14,$A6,sales_data!$E$3:$E$14,$B6)</f>
        <v>0</v>
      </c>
      <c r="F6" s="1"/>
      <c r="G6" s="6" t="s">
        <v>28</v>
      </c>
      <c r="H6" s="11">
        <f>SUMIFS(sales_data!$I$3:$I$14,sales_data!$B$3:$B$14,$G6,sales_data!$E$3:$E$14,H$4)</f>
        <v>0</v>
      </c>
      <c r="I6" s="11">
        <f>SUMIFS(sales_data!$I$3:$I$14,sales_data!$B$3:$B$14,$G6,sales_data!$E$3:$E$14,I$4)</f>
        <v>0</v>
      </c>
      <c r="J6" s="11">
        <f>SUMIFS(sales_data!$I$3:$I$14,sales_data!$B$3:$B$14,$G6,sales_data!$E$3:$E$14,J$4)</f>
        <v>0</v>
      </c>
      <c r="K6" s="11">
        <f>SUMIFS(sales_data!$I$3:$I$14,sales_data!$B$3:$B$14,$G6,sales_data!$E$3:$E$14,K$4)</f>
        <v>0</v>
      </c>
    </row>
    <row r="7" spans="1:11" ht="21.95" customHeight="1" x14ac:dyDescent="0.25">
      <c r="A7" s="1" t="s">
        <v>28</v>
      </c>
      <c r="B7" s="1" t="s">
        <v>24</v>
      </c>
      <c r="C7" s="11">
        <f>SUMIFS(sales_data!$I$3:$I$14,sales_data!$B$3:$B$14,$A7,sales_data!$E$3:$E$14,$B7)</f>
        <v>0</v>
      </c>
      <c r="D7" s="12">
        <f>SUMIFS(sales_data!$G$3:$G$14,sales_data!$B$3:$B$14,$A7,sales_data!$E$3:$E$14,$B7)</f>
        <v>0</v>
      </c>
      <c r="E7" s="3">
        <f>COUNTIFS(sales_data!$B$3:$B$14,$A7,sales_data!$E$3:$E$14,$B7)</f>
        <v>0</v>
      </c>
      <c r="F7" s="1"/>
      <c r="G7" s="6" t="s">
        <v>33</v>
      </c>
      <c r="H7" s="11">
        <f>SUMIFS(sales_data!$I$3:$I$14,sales_data!$B$3:$B$14,$G7,sales_data!$E$3:$E$14,H$4)</f>
        <v>0</v>
      </c>
      <c r="I7" s="11">
        <f>SUMIFS(sales_data!$I$3:$I$14,sales_data!$B$3:$B$14,$G7,sales_data!$E$3:$E$14,I$4)</f>
        <v>0</v>
      </c>
      <c r="J7" s="11">
        <f>SUMIFS(sales_data!$I$3:$I$14,sales_data!$B$3:$B$14,$G7,sales_data!$E$3:$E$14,J$4)</f>
        <v>0</v>
      </c>
      <c r="K7" s="11">
        <f>SUMIFS(sales_data!$I$3:$I$14,sales_data!$B$3:$B$14,$G7,sales_data!$E$3:$E$14,K$4)</f>
        <v>0</v>
      </c>
    </row>
    <row r="8" spans="1:11" ht="21.95" customHeight="1" x14ac:dyDescent="0.25">
      <c r="A8" s="1" t="s">
        <v>28</v>
      </c>
      <c r="B8" s="1" t="s">
        <v>31</v>
      </c>
      <c r="C8" s="11">
        <f>SUMIFS(sales_data!$I$3:$I$14,sales_data!$B$3:$B$14,$A8,sales_data!$E$3:$E$14,$B8)</f>
        <v>0</v>
      </c>
      <c r="D8" s="12">
        <f>SUMIFS(sales_data!$G$3:$G$14,sales_data!$B$3:$B$14,$A8,sales_data!$E$3:$E$14,$B8)</f>
        <v>0</v>
      </c>
      <c r="E8" s="3">
        <f>COUNTIFS(sales_data!$B$3:$B$14,$A8,sales_data!$E$3:$E$14,$B8)</f>
        <v>0</v>
      </c>
      <c r="F8" s="1"/>
      <c r="G8" s="6" t="s">
        <v>36</v>
      </c>
      <c r="H8" s="11">
        <f>SUMIFS(sales_data!$I$3:$I$14,sales_data!$B$3:$B$14,$G8,sales_data!$E$3:$E$14,H$4)</f>
        <v>0</v>
      </c>
      <c r="I8" s="11">
        <f>SUMIFS(sales_data!$I$3:$I$14,sales_data!$B$3:$B$14,$G8,sales_data!$E$3:$E$14,I$4)</f>
        <v>0</v>
      </c>
      <c r="J8" s="11">
        <f>SUMIFS(sales_data!$I$3:$I$14,sales_data!$B$3:$B$14,$G8,sales_data!$E$3:$E$14,J$4)</f>
        <v>0</v>
      </c>
      <c r="K8" s="11">
        <f>SUMIFS(sales_data!$I$3:$I$14,sales_data!$B$3:$B$14,$G8,sales_data!$E$3:$E$14,K$4)</f>
        <v>0</v>
      </c>
    </row>
    <row r="9" spans="1:11" ht="21.95" customHeight="1" x14ac:dyDescent="0.25">
      <c r="A9" s="1" t="s">
        <v>33</v>
      </c>
      <c r="B9" s="1" t="s">
        <v>27</v>
      </c>
      <c r="C9" s="11">
        <f>SUMIFS(sales_data!$I$3:$I$14,sales_data!$B$3:$B$14,$A9,sales_data!$E$3:$E$14,$B9)</f>
        <v>0</v>
      </c>
      <c r="D9" s="12">
        <f>SUMIFS(sales_data!$G$3:$G$14,sales_data!$B$3:$B$14,$A9,sales_data!$E$3:$E$14,$B9)</f>
        <v>0</v>
      </c>
      <c r="E9" s="3">
        <f>COUNTIFS(sales_data!$B$3:$B$14,$A9,sales_data!$E$3:$E$14,$B9)</f>
        <v>0</v>
      </c>
      <c r="F9" s="1"/>
      <c r="G9" s="1"/>
      <c r="H9" s="3"/>
      <c r="I9" s="3"/>
      <c r="J9" s="3"/>
      <c r="K9" s="3"/>
    </row>
    <row r="10" spans="1:11" ht="21.95" customHeight="1" x14ac:dyDescent="0.25">
      <c r="A10" s="1" t="s">
        <v>33</v>
      </c>
      <c r="B10" s="1" t="s">
        <v>24</v>
      </c>
      <c r="C10" s="11">
        <f>SUMIFS(sales_data!$I$3:$I$14,sales_data!$B$3:$B$14,$A10,sales_data!$E$3:$E$14,$B10)</f>
        <v>0</v>
      </c>
      <c r="D10" s="12">
        <f>SUMIFS(sales_data!$G$3:$G$14,sales_data!$B$3:$B$14,$A10,sales_data!$E$3:$E$14,$B10)</f>
        <v>0</v>
      </c>
      <c r="E10" s="3">
        <f>COUNTIFS(sales_data!$B$3:$B$14,$A10,sales_data!$E$3:$E$14,$B10)</f>
        <v>0</v>
      </c>
      <c r="F10" s="1"/>
      <c r="G10" s="1"/>
      <c r="H10" s="3"/>
      <c r="I10" s="3"/>
      <c r="J10" s="3"/>
      <c r="K10" s="3"/>
    </row>
    <row r="11" spans="1:11" ht="21.95" customHeight="1" x14ac:dyDescent="0.25">
      <c r="A11" s="1" t="s">
        <v>33</v>
      </c>
      <c r="B11" s="1" t="s">
        <v>31</v>
      </c>
      <c r="C11" s="11">
        <f>SUMIFS(sales_data!$I$3:$I$14,sales_data!$B$3:$B$14,$A11,sales_data!$E$3:$E$14,$B11)</f>
        <v>0</v>
      </c>
      <c r="D11" s="12">
        <f>SUMIFS(sales_data!$G$3:$G$14,sales_data!$B$3:$B$14,$A11,sales_data!$E$3:$E$14,$B11)</f>
        <v>0</v>
      </c>
      <c r="E11" s="3">
        <f>COUNTIFS(sales_data!$B$3:$B$14,$A11,sales_data!$E$3:$E$14,$B11)</f>
        <v>0</v>
      </c>
      <c r="F11" s="1"/>
      <c r="G11" s="1"/>
      <c r="H11" s="3"/>
      <c r="I11" s="3"/>
      <c r="J11" s="3"/>
      <c r="K11" s="3"/>
    </row>
    <row r="12" spans="1:11" ht="21.95" customHeight="1" x14ac:dyDescent="0.25">
      <c r="A12" s="1" t="s">
        <v>33</v>
      </c>
      <c r="B12" s="1" t="s">
        <v>34</v>
      </c>
      <c r="C12" s="11">
        <f>SUMIFS(sales_data!$I$3:$I$14,sales_data!$B$3:$B$14,$A12,sales_data!$E$3:$E$14,$B12)</f>
        <v>0</v>
      </c>
      <c r="D12" s="12">
        <f>SUMIFS(sales_data!$G$3:$G$14,sales_data!$B$3:$B$14,$A12,sales_data!$E$3:$E$14,$B12)</f>
        <v>0</v>
      </c>
      <c r="E12" s="3">
        <f>COUNTIFS(sales_data!$B$3:$B$14,$A12,sales_data!$E$3:$E$14,$B12)</f>
        <v>0</v>
      </c>
      <c r="F12" s="1"/>
      <c r="G12" s="1"/>
      <c r="H12" s="3"/>
      <c r="I12" s="3"/>
      <c r="J12" s="3"/>
      <c r="K12" s="3"/>
    </row>
    <row r="13" spans="1:11" ht="21.95" customHeight="1" x14ac:dyDescent="0.25">
      <c r="A13" s="1" t="s">
        <v>36</v>
      </c>
      <c r="B13" s="1" t="s">
        <v>24</v>
      </c>
      <c r="C13" s="11">
        <f>SUMIFS(sales_data!$I$3:$I$14,sales_data!$B$3:$B$14,$A13,sales_data!$E$3:$E$14,$B13)</f>
        <v>0</v>
      </c>
      <c r="D13" s="12">
        <f>SUMIFS(sales_data!$G$3:$G$14,sales_data!$B$3:$B$14,$A13,sales_data!$E$3:$E$14,$B13)</f>
        <v>0</v>
      </c>
      <c r="E13" s="3">
        <f>COUNTIFS(sales_data!$B$3:$B$14,$A13,sales_data!$E$3:$E$14,$B13)</f>
        <v>0</v>
      </c>
      <c r="F13" s="1"/>
      <c r="G13" s="1"/>
      <c r="H13" s="3"/>
      <c r="I13" s="3"/>
      <c r="J13" s="3"/>
      <c r="K13" s="3"/>
    </row>
    <row r="14" spans="1:11" ht="21.95" customHeight="1" x14ac:dyDescent="0.25">
      <c r="A14" s="1" t="s">
        <v>36</v>
      </c>
      <c r="B14" s="1" t="s">
        <v>31</v>
      </c>
      <c r="C14" s="11">
        <f>SUMIFS(sales_data!$I$3:$I$14,sales_data!$B$3:$B$14,$A14,sales_data!$E$3:$E$14,$B14)</f>
        <v>0</v>
      </c>
      <c r="D14" s="12">
        <f>SUMIFS(sales_data!$G$3:$G$14,sales_data!$B$3:$B$14,$A14,sales_data!$E$3:$E$14,$B14)</f>
        <v>0</v>
      </c>
      <c r="E14" s="3">
        <f>COUNTIFS(sales_data!$B$3:$B$14,$A14,sales_data!$E$3:$E$14,$B14)</f>
        <v>0</v>
      </c>
      <c r="F14" s="1"/>
      <c r="G14" s="1"/>
      <c r="H14" s="3"/>
      <c r="I14" s="3"/>
      <c r="J14" s="3"/>
      <c r="K14" s="3"/>
    </row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workbookViewId="0"/>
  </sheetViews>
  <sheetFormatPr defaultRowHeight="15" x14ac:dyDescent="0.25"/>
  <cols>
    <col min="1" max="2" width="16" customWidth="1"/>
    <col min="3" max="3" width="10" customWidth="1"/>
    <col min="4" max="4" width="14" customWidth="1"/>
    <col min="5" max="5" width="3" customWidth="1"/>
    <col min="6" max="6" width="14" customWidth="1"/>
    <col min="7" max="8" width="16" customWidth="1"/>
  </cols>
  <sheetData>
    <row r="1" spans="1:8" ht="21.95" customHeight="1" x14ac:dyDescent="0.25">
      <c r="A1" s="21" t="s">
        <v>61</v>
      </c>
      <c r="B1" s="22"/>
      <c r="C1" s="22"/>
      <c r="D1" s="22"/>
      <c r="E1" s="22"/>
      <c r="F1" s="22"/>
      <c r="G1" s="22"/>
      <c r="H1" s="22"/>
    </row>
    <row r="2" spans="1:8" ht="21.95" customHeight="1" x14ac:dyDescent="0.25"/>
    <row r="3" spans="1:8" ht="21.95" customHeight="1" x14ac:dyDescent="0.25">
      <c r="A3" s="6" t="s">
        <v>14</v>
      </c>
      <c r="B3" s="6" t="s">
        <v>54</v>
      </c>
      <c r="C3" s="4" t="s">
        <v>55</v>
      </c>
      <c r="D3" s="6" t="s">
        <v>62</v>
      </c>
      <c r="E3" s="3"/>
      <c r="F3" s="7" t="s">
        <v>63</v>
      </c>
      <c r="G3" s="7" t="s">
        <v>14</v>
      </c>
      <c r="H3" s="13" t="s">
        <v>54</v>
      </c>
    </row>
    <row r="4" spans="1:8" ht="21.95" customHeight="1" x14ac:dyDescent="0.25">
      <c r="A4" s="1" t="str">
        <f>'2_Группировка_1'!A4</f>
        <v>Анна</v>
      </c>
      <c r="B4" s="12">
        <f>'2_Группировка_1'!B4</f>
        <v>0</v>
      </c>
      <c r="C4" s="3">
        <f>'2_Группировка_1'!C4</f>
        <v>0</v>
      </c>
      <c r="D4" s="1" t="e">
        <f ca="1">_xludf.RANK.EQ(B4,$B$4:$B$6,0)</f>
        <v>#NAME?</v>
      </c>
      <c r="E4" s="3"/>
      <c r="F4" s="1">
        <v>1</v>
      </c>
      <c r="G4" s="1" t="e">
        <f ca="1">INDEX($A$4:$A$6,MATCH(F4,$D$4:$D$6,0))</f>
        <v>#N/A</v>
      </c>
      <c r="H4" s="11" t="e">
        <f ca="1">INDEX($B$4:$B$6,MATCH(F4,$D$4:$D$6,0))</f>
        <v>#N/A</v>
      </c>
    </row>
    <row r="5" spans="1:8" ht="21.95" customHeight="1" x14ac:dyDescent="0.25">
      <c r="A5" s="1" t="str">
        <f>'2_Группировка_1'!A5</f>
        <v>Борис</v>
      </c>
      <c r="B5" s="12">
        <f>'2_Группировка_1'!B5</f>
        <v>0</v>
      </c>
      <c r="C5" s="3">
        <f>'2_Группировка_1'!C5</f>
        <v>0</v>
      </c>
      <c r="D5" s="1" t="e">
        <f ca="1">_xludf.RANK.EQ(B5,$B$4:$B$6,0)</f>
        <v>#NAME?</v>
      </c>
      <c r="E5" s="3"/>
      <c r="F5" s="1">
        <v>2</v>
      </c>
      <c r="G5" s="1" t="e">
        <f ca="1">INDEX($A$4:$A$6,MATCH(F5,$D$4:$D$6,0))</f>
        <v>#N/A</v>
      </c>
      <c r="H5" s="11" t="e">
        <f ca="1">INDEX($B$4:$B$6,MATCH(F5,$D$4:$D$6,0))</f>
        <v>#N/A</v>
      </c>
    </row>
    <row r="6" spans="1:8" ht="21.95" customHeight="1" x14ac:dyDescent="0.25">
      <c r="A6" s="1" t="str">
        <f>'2_Группировка_1'!A6</f>
        <v>Светлана</v>
      </c>
      <c r="B6" s="12">
        <f>'2_Группировка_1'!B6</f>
        <v>0</v>
      </c>
      <c r="C6" s="3">
        <f>'2_Группировка_1'!C6</f>
        <v>0</v>
      </c>
      <c r="D6" s="1" t="e">
        <f ca="1">_xludf.RANK.EQ(B6,$B$4:$B$6,0)</f>
        <v>#NAME?</v>
      </c>
      <c r="E6" s="3"/>
      <c r="F6" s="1">
        <v>3</v>
      </c>
      <c r="G6" s="1" t="e">
        <f ca="1">INDEX($A$4:$A$6,MATCH(F6,$D$4:$D$6,0))</f>
        <v>#N/A</v>
      </c>
      <c r="H6" s="11" t="e">
        <f ca="1">INDEX($B$4:$B$6,MATCH(F6,$D$4:$D$6,0))</f>
        <v>#N/A</v>
      </c>
    </row>
    <row r="7" spans="1:8" ht="21.95" customHeight="1" x14ac:dyDescent="0.25">
      <c r="A7" s="1"/>
      <c r="B7" s="12"/>
      <c r="C7" s="3"/>
      <c r="D7" s="1"/>
      <c r="E7" s="3"/>
      <c r="F7" s="1"/>
      <c r="G7" s="1"/>
      <c r="H7" s="11"/>
    </row>
    <row r="8" spans="1:8" ht="21.95" customHeight="1" x14ac:dyDescent="0.25">
      <c r="A8" s="1"/>
      <c r="B8" s="12"/>
      <c r="C8" s="3"/>
      <c r="D8" s="1"/>
      <c r="E8" s="3"/>
      <c r="F8" s="14" t="s">
        <v>64</v>
      </c>
      <c r="G8" s="14" t="e">
        <f ca="1">G4</f>
        <v>#N/A</v>
      </c>
      <c r="H8" s="15" t="e">
        <f ca="1">H4</f>
        <v>#N/A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workbookViewId="0"/>
  </sheetViews>
  <sheetFormatPr defaultRowHeight="15" x14ac:dyDescent="0.25"/>
  <cols>
    <col min="1" max="1" width="16" customWidth="1"/>
    <col min="2" max="6" width="14" customWidth="1"/>
  </cols>
  <sheetData>
    <row r="1" spans="1:6" ht="21.95" customHeight="1" x14ac:dyDescent="0.25">
      <c r="A1" s="21" t="s">
        <v>65</v>
      </c>
      <c r="B1" s="22"/>
      <c r="C1" s="22"/>
      <c r="D1" s="22"/>
      <c r="E1" s="22"/>
      <c r="F1" s="22"/>
    </row>
    <row r="2" spans="1:6" ht="21.95" customHeight="1" x14ac:dyDescent="0.25"/>
    <row r="3" spans="1:6" ht="21.95" customHeight="1" x14ac:dyDescent="0.25">
      <c r="A3" s="6" t="s">
        <v>14</v>
      </c>
      <c r="B3" s="6" t="s">
        <v>24</v>
      </c>
      <c r="C3" s="4" t="s">
        <v>27</v>
      </c>
      <c r="D3" s="6" t="s">
        <v>31</v>
      </c>
      <c r="E3" s="4" t="s">
        <v>34</v>
      </c>
      <c r="F3" s="6" t="s">
        <v>66</v>
      </c>
    </row>
    <row r="4" spans="1:6" ht="21.95" customHeight="1" x14ac:dyDescent="0.25">
      <c r="A4" s="1" t="s">
        <v>22</v>
      </c>
      <c r="B4" s="12">
        <f>SUMIFS(sales_data!$I$3:$I$14,sales_data!$C$3:$C$14,$A4,sales_data!$E$3:$E$14,B$3)</f>
        <v>0</v>
      </c>
      <c r="C4" s="11">
        <f>SUMIFS(sales_data!$I$3:$I$14,sales_data!$C$3:$C$14,$A4,sales_data!$E$3:$E$14,C$3)</f>
        <v>0</v>
      </c>
      <c r="D4" s="12">
        <f>SUMIFS(sales_data!$I$3:$I$14,sales_data!$C$3:$C$14,$A4,sales_data!$E$3:$E$14,D$3)</f>
        <v>0</v>
      </c>
      <c r="E4" s="11">
        <f>SUMIFS(sales_data!$I$3:$I$14,sales_data!$C$3:$C$14,$A4,sales_data!$E$3:$E$14,E$3)</f>
        <v>0</v>
      </c>
      <c r="F4" s="12">
        <f>SUM(B4:E4)</f>
        <v>0</v>
      </c>
    </row>
    <row r="5" spans="1:6" ht="21.95" customHeight="1" x14ac:dyDescent="0.25">
      <c r="A5" s="1" t="s">
        <v>25</v>
      </c>
      <c r="B5" s="12">
        <f>SUMIFS(sales_data!$I$3:$I$14,sales_data!$C$3:$C$14,$A5,sales_data!$E$3:$E$14,B$3)</f>
        <v>0</v>
      </c>
      <c r="C5" s="11">
        <f>SUMIFS(sales_data!$I$3:$I$14,sales_data!$C$3:$C$14,$A5,sales_data!$E$3:$E$14,C$3)</f>
        <v>0</v>
      </c>
      <c r="D5" s="12">
        <f>SUMIFS(sales_data!$I$3:$I$14,sales_data!$C$3:$C$14,$A5,sales_data!$E$3:$E$14,D$3)</f>
        <v>0</v>
      </c>
      <c r="E5" s="11">
        <f>SUMIFS(sales_data!$I$3:$I$14,sales_data!$C$3:$C$14,$A5,sales_data!$E$3:$E$14,E$3)</f>
        <v>0</v>
      </c>
      <c r="F5" s="12">
        <f>SUM(B5:E5)</f>
        <v>0</v>
      </c>
    </row>
    <row r="6" spans="1:6" ht="21.95" customHeight="1" x14ac:dyDescent="0.25">
      <c r="A6" s="1" t="s">
        <v>29</v>
      </c>
      <c r="B6" s="12">
        <f>SUMIFS(sales_data!$I$3:$I$14,sales_data!$C$3:$C$14,$A6,sales_data!$E$3:$E$14,B$3)</f>
        <v>0</v>
      </c>
      <c r="C6" s="11">
        <f>SUMIFS(sales_data!$I$3:$I$14,sales_data!$C$3:$C$14,$A6,sales_data!$E$3:$E$14,C$3)</f>
        <v>0</v>
      </c>
      <c r="D6" s="12">
        <f>SUMIFS(sales_data!$I$3:$I$14,sales_data!$C$3:$C$14,$A6,sales_data!$E$3:$E$14,D$3)</f>
        <v>0</v>
      </c>
      <c r="E6" s="11">
        <f>SUMIFS(sales_data!$I$3:$I$14,sales_data!$C$3:$C$14,$A6,sales_data!$E$3:$E$14,E$3)</f>
        <v>0</v>
      </c>
      <c r="F6" s="12">
        <f>SUM(B6:E6)</f>
        <v>0</v>
      </c>
    </row>
    <row r="7" spans="1:6" ht="21.95" customHeight="1" x14ac:dyDescent="0.25">
      <c r="A7" s="7" t="s">
        <v>66</v>
      </c>
      <c r="B7" s="16">
        <f>SUM(B4:B6)</f>
        <v>0</v>
      </c>
      <c r="C7" s="17">
        <f>SUM(C4:C6)</f>
        <v>0</v>
      </c>
      <c r="D7" s="16">
        <f>SUM(D4:D6)</f>
        <v>0</v>
      </c>
      <c r="E7" s="17">
        <f>SUM(E4:E6)</f>
        <v>0</v>
      </c>
      <c r="F7" s="16">
        <f>SUM(F4:F6)</f>
        <v>0</v>
      </c>
    </row>
    <row r="8" spans="1:6" ht="21.95" customHeight="1" x14ac:dyDescent="0.25">
      <c r="A8" s="1"/>
      <c r="B8" s="1"/>
      <c r="C8" s="3"/>
      <c r="D8" s="1"/>
      <c r="E8" s="3"/>
      <c r="F8" s="1"/>
    </row>
    <row r="9" spans="1:6" ht="21.95" customHeight="1" x14ac:dyDescent="0.25">
      <c r="A9" s="14" t="s">
        <v>67</v>
      </c>
      <c r="B9" s="14" t="str">
        <f>INDEX(B$3:E$3,MATCH(MAX(B7:E7),B7:E7,0))</f>
        <v>Ноутбуки</v>
      </c>
      <c r="C9" s="18" t="s">
        <v>68</v>
      </c>
      <c r="D9" s="19">
        <f>MAX(B7:E7)</f>
        <v>0</v>
      </c>
      <c r="E9" s="3"/>
      <c r="F9" s="1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/>
  </sheetViews>
  <sheetFormatPr defaultRowHeight="15" x14ac:dyDescent="0.25"/>
  <cols>
    <col min="1" max="1" width="42" customWidth="1"/>
    <col min="2" max="2" width="18" customWidth="1"/>
    <col min="3" max="3" width="42" customWidth="1"/>
    <col min="4" max="4" width="3" customWidth="1"/>
  </cols>
  <sheetData>
    <row r="1" spans="1:4" ht="21.95" customHeight="1" x14ac:dyDescent="0.25">
      <c r="A1" s="21" t="s">
        <v>69</v>
      </c>
      <c r="B1" s="22"/>
      <c r="C1" s="22"/>
      <c r="D1" s="22"/>
    </row>
    <row r="2" spans="1:4" ht="21.95" customHeight="1" x14ac:dyDescent="0.25"/>
    <row r="3" spans="1:4" ht="21.95" customHeight="1" x14ac:dyDescent="0.25">
      <c r="A3" s="6" t="s">
        <v>70</v>
      </c>
      <c r="B3" s="6" t="s">
        <v>71</v>
      </c>
      <c r="C3" s="4" t="s">
        <v>72</v>
      </c>
      <c r="D3" s="6" t="s">
        <v>73</v>
      </c>
    </row>
    <row r="4" spans="1:4" ht="21.95" customHeight="1" x14ac:dyDescent="0.25">
      <c r="A4" s="1" t="s">
        <v>74</v>
      </c>
      <c r="B4" s="12">
        <f>COUNTA(sales_data!A3:A14)</f>
        <v>12</v>
      </c>
      <c r="C4" s="3" t="s">
        <v>75</v>
      </c>
      <c r="D4" s="1"/>
    </row>
    <row r="5" spans="1:4" ht="21.95" customHeight="1" x14ac:dyDescent="0.25">
      <c r="A5" s="1" t="s">
        <v>76</v>
      </c>
      <c r="B5" s="12">
        <f>SUM(sales_data!I3:I14)</f>
        <v>8354155.7799999993</v>
      </c>
      <c r="C5" s="3" t="s">
        <v>77</v>
      </c>
      <c r="D5" s="1"/>
    </row>
    <row r="6" spans="1:4" ht="21.95" customHeight="1" x14ac:dyDescent="0.25">
      <c r="A6" s="1" t="s">
        <v>78</v>
      </c>
      <c r="B6" s="1" t="e">
        <f ca="1">'4_Сортировка'!G8</f>
        <v>#N/A</v>
      </c>
      <c r="C6" s="3" t="s">
        <v>79</v>
      </c>
      <c r="D6" s="1"/>
    </row>
    <row r="7" spans="1:4" ht="21.95" customHeight="1" x14ac:dyDescent="0.25">
      <c r="A7" s="1" t="s">
        <v>80</v>
      </c>
      <c r="B7" s="12">
        <f>'5_Мини_сводная'!B7</f>
        <v>0</v>
      </c>
      <c r="C7" s="3" t="s">
        <v>81</v>
      </c>
      <c r="D7" s="1"/>
    </row>
    <row r="8" spans="1:4" ht="21.95" customHeight="1" x14ac:dyDescent="0.25">
      <c r="A8" s="1" t="s">
        <v>82</v>
      </c>
      <c r="B8" s="12">
        <f>COUNTIF(sales_data!C3:C14,"Анна")</f>
        <v>0</v>
      </c>
      <c r="C8" s="3" t="s">
        <v>83</v>
      </c>
      <c r="D8" s="1"/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DEAEBEBB66B4B88D66787F055A81B" ma:contentTypeVersion="11" ma:contentTypeDescription="Create a new document." ma:contentTypeScope="" ma:versionID="1b88847c9fe6b26fa67261bbb8b1c80a">
  <xsd:schema xmlns:xsd="http://www.w3.org/2001/XMLSchema" xmlns:xs="http://www.w3.org/2001/XMLSchema" xmlns:p="http://schemas.microsoft.com/office/2006/metadata/properties" xmlns:ns2="36208828-9969-4b73-bb77-f045d89e9554" xmlns:ns3="19a417cd-1461-4943-a860-4cb4d05c96be" targetNamespace="http://schemas.microsoft.com/office/2006/metadata/properties" ma:root="true" ma:fieldsID="4b81e6e864b9c373d4615dbe59b7e60e" ns2:_="" ns3:_="">
    <xsd:import namespace="36208828-9969-4b73-bb77-f045d89e9554"/>
    <xsd:import namespace="19a417cd-1461-4943-a860-4cb4d05c96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208828-9969-4b73-bb77-f045d89e95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337a3fc-4456-4954-9b0b-07bfd45f7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417cd-1461-4943-a860-4cb4d05c96b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9379c40-fa90-4dde-8395-12c6c804e41a}" ma:internalName="TaxCatchAll" ma:showField="CatchAllData" ma:web="19a417cd-1461-4943-a860-4cb4d05c96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a417cd-1461-4943-a860-4cb4d05c96be" xsi:nil="true"/>
    <lcf76f155ced4ddcb4097134ff3c332f xmlns="36208828-9969-4b73-bb77-f045d89e955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C25F67-A978-44A1-9F4A-44D00FC7F9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4F68AB-2100-4ECD-9877-2CDCF5B5E0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208828-9969-4b73-bb77-f045d89e9554"/>
    <ds:schemaRef ds:uri="19a417cd-1461-4943-a860-4cb4d05c96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5D83B0-1DCA-456A-A36B-B4AEA0F0F46F}">
  <ds:schemaRefs>
    <ds:schemaRef ds:uri="http://schemas.microsoft.com/office/2006/metadata/properties"/>
    <ds:schemaRef ds:uri="http://schemas.microsoft.com/office/infopath/2007/PartnerControls"/>
    <ds:schemaRef ds:uri="19a417cd-1461-4943-a860-4cb4d05c96be"/>
    <ds:schemaRef ds:uri="36208828-9969-4b73-bb77-f045d89e955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0_Теория</vt:lpstr>
      <vt:lpstr>sales_data</vt:lpstr>
      <vt:lpstr>1_Агрегаты</vt:lpstr>
      <vt:lpstr>2_Группировка_1</vt:lpstr>
      <vt:lpstr>3_Группировка_2</vt:lpstr>
      <vt:lpstr>4_Сортировка</vt:lpstr>
      <vt:lpstr>5_Мини_сводная</vt:lpstr>
      <vt:lpstr>6_Тест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Бучинский Даниил Константинович</cp:lastModifiedBy>
  <dcterms:modified xsi:type="dcterms:W3CDTF">2026-09-04T17:38:12Z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0x010100619DEAEBEBB66B4B88D66787F055A81B</vt:lpwstr>
  </property>
</Properties>
</file>